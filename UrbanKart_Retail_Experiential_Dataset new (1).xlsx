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Kanad\Downloads\"/>
    </mc:Choice>
  </mc:AlternateContent>
  <xr:revisionPtr revIDLastSave="0" documentId="8_{06E795E5-0C92-4701-8090-414DB9E3EC1B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tudent_Brief" sheetId="1" r:id="rId1"/>
    <sheet name="Sales_Orders" sheetId="2" r:id="rId2"/>
    <sheet name="Complaints" sheetId="3" r:id="rId3"/>
    <sheet name="Employees" sheetId="4" r:id="rId4"/>
    <sheet name="Inventory" sheetId="5" r:id="rId5"/>
    <sheet name="Instructor_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6" l="1"/>
  <c r="D14" i="6"/>
  <c r="C14" i="6"/>
  <c r="B14" i="6"/>
  <c r="E13" i="6"/>
  <c r="D13" i="6"/>
  <c r="C13" i="6"/>
  <c r="B13" i="6"/>
  <c r="E12" i="6"/>
  <c r="D12" i="6"/>
  <c r="C12" i="6"/>
  <c r="B12" i="6"/>
  <c r="C8" i="6"/>
  <c r="D8" i="6" s="1"/>
  <c r="B8" i="6"/>
  <c r="C7" i="6"/>
  <c r="B7" i="6"/>
  <c r="D7" i="6" s="1"/>
  <c r="C6" i="6"/>
  <c r="B6" i="6"/>
  <c r="C5" i="6"/>
  <c r="B5" i="6"/>
  <c r="C4" i="6"/>
  <c r="B4" i="6"/>
  <c r="D6" i="6" l="1"/>
  <c r="D4" i="6"/>
  <c r="D5" i="6"/>
</calcChain>
</file>

<file path=xl/sharedStrings.xml><?xml version="1.0" encoding="utf-8"?>
<sst xmlns="http://schemas.openxmlformats.org/spreadsheetml/2006/main" count="14017" uniqueCount="2294">
  <si>
    <t>UrbanKart Retail Pvt. Ltd. — CEO for 15 Minutes</t>
  </si>
  <si>
    <t>Purpose</t>
  </si>
  <si>
    <t>Analyze raw business data and identify the 3 biggest problems.</t>
  </si>
  <si>
    <t>Your role</t>
  </si>
  <si>
    <t>You are the CEO and management team. You have 15 minutes.</t>
  </si>
  <si>
    <t>Task 1</t>
  </si>
  <si>
    <t>Identify the 3 biggest business problems. Support each with numbers.</t>
  </si>
  <si>
    <t>Task 2</t>
  </si>
  <si>
    <t>Suggest likely root causes by connecting sales, profit, complaints, employees and inventory.</t>
  </si>
  <si>
    <t>Task 3</t>
  </si>
  <si>
    <t>Recommend exactly 3 managerial decisions for the next 30 days.</t>
  </si>
  <si>
    <t>Rule</t>
  </si>
  <si>
    <t>Start with the business problem—not with a statistical technique.</t>
  </si>
  <si>
    <t>Period</t>
  </si>
  <si>
    <t>Q1 FY2026 (Apr–Jun) and Q2 FY2026 (Jul–Sep).</t>
  </si>
  <si>
    <t>Note</t>
  </si>
  <si>
    <t>Synthetic dataset for MBA experiential learning.</t>
  </si>
  <si>
    <t>Order_ID</t>
  </si>
  <si>
    <t>Order_Date</t>
  </si>
  <si>
    <t>Quarter</t>
  </si>
  <si>
    <t>Department</t>
  </si>
  <si>
    <t>Product_Category</t>
  </si>
  <si>
    <t>City</t>
  </si>
  <si>
    <t>Channel</t>
  </si>
  <si>
    <t>Units</t>
  </si>
  <si>
    <t>Gross_Sales_Rs</t>
  </si>
  <si>
    <t>Discount_Rs</t>
  </si>
  <si>
    <t>Net_Sales_Rs</t>
  </si>
  <si>
    <t>COGS_Rs</t>
  </si>
  <si>
    <t>Delivery_Cost_Rs</t>
  </si>
  <si>
    <t>Refund_Cost_Rs</t>
  </si>
  <si>
    <t>Other_Operating_Cost_Rs</t>
  </si>
  <si>
    <t>Net_Profit_Rs</t>
  </si>
  <si>
    <t>Delivery_Days</t>
  </si>
  <si>
    <t>Return_Flag</t>
  </si>
  <si>
    <t>UK10001</t>
  </si>
  <si>
    <t>Q1 FY2026</t>
  </si>
  <si>
    <t>Electronics</t>
  </si>
  <si>
    <t>Laptops</t>
  </si>
  <si>
    <t>Nashik</t>
  </si>
  <si>
    <t>Online</t>
  </si>
  <si>
    <t>No</t>
  </si>
  <si>
    <t>UK10002</t>
  </si>
  <si>
    <t>Store</t>
  </si>
  <si>
    <t>UK10003</t>
  </si>
  <si>
    <t>Accessories</t>
  </si>
  <si>
    <t>Nagpur</t>
  </si>
  <si>
    <t>UK10004</t>
  </si>
  <si>
    <t>UK10005</t>
  </si>
  <si>
    <t>Aurangabad</t>
  </si>
  <si>
    <t>UK10006</t>
  </si>
  <si>
    <t>Mumbai</t>
  </si>
  <si>
    <t>UK10007</t>
  </si>
  <si>
    <t>Yes</t>
  </si>
  <si>
    <t>UK10008</t>
  </si>
  <si>
    <t>Home Electronics</t>
  </si>
  <si>
    <t>UK10009</t>
  </si>
  <si>
    <t>UK10010</t>
  </si>
  <si>
    <t>UK10011</t>
  </si>
  <si>
    <t>Mobiles</t>
  </si>
  <si>
    <t>UK10012</t>
  </si>
  <si>
    <t>Pune</t>
  </si>
  <si>
    <t>UK10013</t>
  </si>
  <si>
    <t>UK10014</t>
  </si>
  <si>
    <t>UK10015</t>
  </si>
  <si>
    <t>UK10016</t>
  </si>
  <si>
    <t>UK10017</t>
  </si>
  <si>
    <t>UK10018</t>
  </si>
  <si>
    <t>UK10019</t>
  </si>
  <si>
    <t>UK10020</t>
  </si>
  <si>
    <t>UK10021</t>
  </si>
  <si>
    <t>UK10022</t>
  </si>
  <si>
    <t>UK10023</t>
  </si>
  <si>
    <t>UK10024</t>
  </si>
  <si>
    <t>UK10025</t>
  </si>
  <si>
    <t>UK10026</t>
  </si>
  <si>
    <t>UK10027</t>
  </si>
  <si>
    <t>UK10028</t>
  </si>
  <si>
    <t>UK10029</t>
  </si>
  <si>
    <t>UK10030</t>
  </si>
  <si>
    <t>UK10031</t>
  </si>
  <si>
    <t>UK10032</t>
  </si>
  <si>
    <t>UK10033</t>
  </si>
  <si>
    <t>UK10034</t>
  </si>
  <si>
    <t>UK10035</t>
  </si>
  <si>
    <t>UK10036</t>
  </si>
  <si>
    <t>UK10037</t>
  </si>
  <si>
    <t>UK10038</t>
  </si>
  <si>
    <t>UK10039</t>
  </si>
  <si>
    <t>UK10040</t>
  </si>
  <si>
    <t>UK10041</t>
  </si>
  <si>
    <t>UK10042</t>
  </si>
  <si>
    <t>UK10043</t>
  </si>
  <si>
    <t>UK10044</t>
  </si>
  <si>
    <t>UK10045</t>
  </si>
  <si>
    <t>UK10046</t>
  </si>
  <si>
    <t>UK10047</t>
  </si>
  <si>
    <t>UK10048</t>
  </si>
  <si>
    <t>UK10049</t>
  </si>
  <si>
    <t>UK10050</t>
  </si>
  <si>
    <t>UK10051</t>
  </si>
  <si>
    <t>UK10052</t>
  </si>
  <si>
    <t>UK10053</t>
  </si>
  <si>
    <t>UK10054</t>
  </si>
  <si>
    <t>UK10055</t>
  </si>
  <si>
    <t>UK10056</t>
  </si>
  <si>
    <t>UK10057</t>
  </si>
  <si>
    <t>UK10058</t>
  </si>
  <si>
    <t>UK10059</t>
  </si>
  <si>
    <t>UK10060</t>
  </si>
  <si>
    <t>UK10061</t>
  </si>
  <si>
    <t>UK10062</t>
  </si>
  <si>
    <t>UK10063</t>
  </si>
  <si>
    <t>UK10064</t>
  </si>
  <si>
    <t>UK10065</t>
  </si>
  <si>
    <t>UK10066</t>
  </si>
  <si>
    <t>UK10067</t>
  </si>
  <si>
    <t>UK10068</t>
  </si>
  <si>
    <t>UK10069</t>
  </si>
  <si>
    <t>UK10070</t>
  </si>
  <si>
    <t>UK10071</t>
  </si>
  <si>
    <t>UK10072</t>
  </si>
  <si>
    <t>UK10073</t>
  </si>
  <si>
    <t>UK10074</t>
  </si>
  <si>
    <t>UK10075</t>
  </si>
  <si>
    <t>UK10076</t>
  </si>
  <si>
    <t>UK10077</t>
  </si>
  <si>
    <t>UK10078</t>
  </si>
  <si>
    <t>UK10079</t>
  </si>
  <si>
    <t>UK10080</t>
  </si>
  <si>
    <t>UK10081</t>
  </si>
  <si>
    <t>UK10082</t>
  </si>
  <si>
    <t>UK10083</t>
  </si>
  <si>
    <t>UK10084</t>
  </si>
  <si>
    <t>UK10085</t>
  </si>
  <si>
    <t>UK10086</t>
  </si>
  <si>
    <t>UK10087</t>
  </si>
  <si>
    <t>UK10088</t>
  </si>
  <si>
    <t>UK10089</t>
  </si>
  <si>
    <t>UK10090</t>
  </si>
  <si>
    <t>UK10091</t>
  </si>
  <si>
    <t>UK10092</t>
  </si>
  <si>
    <t>UK10093</t>
  </si>
  <si>
    <t>UK10094</t>
  </si>
  <si>
    <t>UK10095</t>
  </si>
  <si>
    <t>UK10096</t>
  </si>
  <si>
    <t>UK10097</t>
  </si>
  <si>
    <t>UK10098</t>
  </si>
  <si>
    <t>UK10099</t>
  </si>
  <si>
    <t>UK10100</t>
  </si>
  <si>
    <t>UK10101</t>
  </si>
  <si>
    <t>UK10102</t>
  </si>
  <si>
    <t>UK10103</t>
  </si>
  <si>
    <t>UK10104</t>
  </si>
  <si>
    <t>UK10105</t>
  </si>
  <si>
    <t>UK10106</t>
  </si>
  <si>
    <t>UK10107</t>
  </si>
  <si>
    <t>UK10108</t>
  </si>
  <si>
    <t>UK10109</t>
  </si>
  <si>
    <t>UK10110</t>
  </si>
  <si>
    <t>UK10111</t>
  </si>
  <si>
    <t>UK10112</t>
  </si>
  <si>
    <t>UK10113</t>
  </si>
  <si>
    <t>UK10114</t>
  </si>
  <si>
    <t>UK10115</t>
  </si>
  <si>
    <t>UK10116</t>
  </si>
  <si>
    <t>UK10117</t>
  </si>
  <si>
    <t>UK10118</t>
  </si>
  <si>
    <t>UK10119</t>
  </si>
  <si>
    <t>UK10120</t>
  </si>
  <si>
    <t>UK10121</t>
  </si>
  <si>
    <t>UK10122</t>
  </si>
  <si>
    <t>UK10123</t>
  </si>
  <si>
    <t>UK10124</t>
  </si>
  <si>
    <t>UK10125</t>
  </si>
  <si>
    <t>UK10126</t>
  </si>
  <si>
    <t>UK10127</t>
  </si>
  <si>
    <t>UK10128</t>
  </si>
  <si>
    <t>UK10129</t>
  </si>
  <si>
    <t>UK10130</t>
  </si>
  <si>
    <t>UK10131</t>
  </si>
  <si>
    <t>UK10132</t>
  </si>
  <si>
    <t>UK10133</t>
  </si>
  <si>
    <t>UK10134</t>
  </si>
  <si>
    <t>UK10135</t>
  </si>
  <si>
    <t>UK10136</t>
  </si>
  <si>
    <t>UK10137</t>
  </si>
  <si>
    <t>UK10138</t>
  </si>
  <si>
    <t>UK10139</t>
  </si>
  <si>
    <t>UK10140</t>
  </si>
  <si>
    <t>UK10141</t>
  </si>
  <si>
    <t>UK10142</t>
  </si>
  <si>
    <t>UK10143</t>
  </si>
  <si>
    <t>UK10144</t>
  </si>
  <si>
    <t>UK10145</t>
  </si>
  <si>
    <t>UK10146</t>
  </si>
  <si>
    <t>UK10147</t>
  </si>
  <si>
    <t>UK10148</t>
  </si>
  <si>
    <t>UK10149</t>
  </si>
  <si>
    <t>UK10150</t>
  </si>
  <si>
    <t>UK10151</t>
  </si>
  <si>
    <t>UK10152</t>
  </si>
  <si>
    <t>UK10153</t>
  </si>
  <si>
    <t>UK10154</t>
  </si>
  <si>
    <t>UK10155</t>
  </si>
  <si>
    <t>UK10156</t>
  </si>
  <si>
    <t>UK10157</t>
  </si>
  <si>
    <t>UK10158</t>
  </si>
  <si>
    <t>UK10159</t>
  </si>
  <si>
    <t>UK10160</t>
  </si>
  <si>
    <t>UK10161</t>
  </si>
  <si>
    <t>UK10162</t>
  </si>
  <si>
    <t>UK10163</t>
  </si>
  <si>
    <t>UK10164</t>
  </si>
  <si>
    <t>UK10165</t>
  </si>
  <si>
    <t>UK10166</t>
  </si>
  <si>
    <t>UK10167</t>
  </si>
  <si>
    <t>UK10168</t>
  </si>
  <si>
    <t>UK10169</t>
  </si>
  <si>
    <t>UK10170</t>
  </si>
  <si>
    <t>UK10171</t>
  </si>
  <si>
    <t>UK10172</t>
  </si>
  <si>
    <t>UK10173</t>
  </si>
  <si>
    <t>UK10174</t>
  </si>
  <si>
    <t>UK10175</t>
  </si>
  <si>
    <t>UK10176</t>
  </si>
  <si>
    <t>UK10177</t>
  </si>
  <si>
    <t>UK10178</t>
  </si>
  <si>
    <t>UK10179</t>
  </si>
  <si>
    <t>UK10180</t>
  </si>
  <si>
    <t>UK10181</t>
  </si>
  <si>
    <t>Fashion</t>
  </si>
  <si>
    <t>Women's Wear</t>
  </si>
  <si>
    <t>UK10182</t>
  </si>
  <si>
    <t>Footwear</t>
  </si>
  <si>
    <t>UK10183</t>
  </si>
  <si>
    <t>UK10184</t>
  </si>
  <si>
    <t>UK10185</t>
  </si>
  <si>
    <t>UK10186</t>
  </si>
  <si>
    <t>Men's Wear</t>
  </si>
  <si>
    <t>UK10187</t>
  </si>
  <si>
    <t>UK10188</t>
  </si>
  <si>
    <t>UK10189</t>
  </si>
  <si>
    <t>Fashion Accessories</t>
  </si>
  <si>
    <t>UK10190</t>
  </si>
  <si>
    <t>UK10191</t>
  </si>
  <si>
    <t>UK10192</t>
  </si>
  <si>
    <t>UK10193</t>
  </si>
  <si>
    <t>UK10194</t>
  </si>
  <si>
    <t>UK10195</t>
  </si>
  <si>
    <t>UK10196</t>
  </si>
  <si>
    <t>UK10197</t>
  </si>
  <si>
    <t>UK10198</t>
  </si>
  <si>
    <t>UK10199</t>
  </si>
  <si>
    <t>UK10200</t>
  </si>
  <si>
    <t>UK10201</t>
  </si>
  <si>
    <t>UK10202</t>
  </si>
  <si>
    <t>UK10203</t>
  </si>
  <si>
    <t>UK10204</t>
  </si>
  <si>
    <t>UK10205</t>
  </si>
  <si>
    <t>UK10206</t>
  </si>
  <si>
    <t>UK10207</t>
  </si>
  <si>
    <t>UK10208</t>
  </si>
  <si>
    <t>UK10209</t>
  </si>
  <si>
    <t>UK10210</t>
  </si>
  <si>
    <t>UK10211</t>
  </si>
  <si>
    <t>UK10212</t>
  </si>
  <si>
    <t>UK10213</t>
  </si>
  <si>
    <t>UK10214</t>
  </si>
  <si>
    <t>UK10215</t>
  </si>
  <si>
    <t>UK10216</t>
  </si>
  <si>
    <t>UK10217</t>
  </si>
  <si>
    <t>UK10218</t>
  </si>
  <si>
    <t>UK10219</t>
  </si>
  <si>
    <t>UK10220</t>
  </si>
  <si>
    <t>UK10221</t>
  </si>
  <si>
    <t>UK10222</t>
  </si>
  <si>
    <t>UK10223</t>
  </si>
  <si>
    <t>UK10224</t>
  </si>
  <si>
    <t>UK10225</t>
  </si>
  <si>
    <t>UK10226</t>
  </si>
  <si>
    <t>UK10227</t>
  </si>
  <si>
    <t>UK10228</t>
  </si>
  <si>
    <t>UK10229</t>
  </si>
  <si>
    <t>UK10230</t>
  </si>
  <si>
    <t>UK10231</t>
  </si>
  <si>
    <t>UK10232</t>
  </si>
  <si>
    <t>UK10233</t>
  </si>
  <si>
    <t>UK10234</t>
  </si>
  <si>
    <t>UK10235</t>
  </si>
  <si>
    <t>UK10236</t>
  </si>
  <si>
    <t>UK10237</t>
  </si>
  <si>
    <t>UK10238</t>
  </si>
  <si>
    <t>UK10239</t>
  </si>
  <si>
    <t>UK10240</t>
  </si>
  <si>
    <t>UK10241</t>
  </si>
  <si>
    <t>UK10242</t>
  </si>
  <si>
    <t>UK10243</t>
  </si>
  <si>
    <t>UK10244</t>
  </si>
  <si>
    <t>UK10245</t>
  </si>
  <si>
    <t>UK10246</t>
  </si>
  <si>
    <t>UK10247</t>
  </si>
  <si>
    <t>UK10248</t>
  </si>
  <si>
    <t>UK10249</t>
  </si>
  <si>
    <t>UK10250</t>
  </si>
  <si>
    <t>UK10251</t>
  </si>
  <si>
    <t>UK10252</t>
  </si>
  <si>
    <t>UK10253</t>
  </si>
  <si>
    <t>UK10254</t>
  </si>
  <si>
    <t>UK10255</t>
  </si>
  <si>
    <t>UK10256</t>
  </si>
  <si>
    <t>UK10257</t>
  </si>
  <si>
    <t>UK10258</t>
  </si>
  <si>
    <t>UK10259</t>
  </si>
  <si>
    <t>UK10260</t>
  </si>
  <si>
    <t>UK10261</t>
  </si>
  <si>
    <t>UK10262</t>
  </si>
  <si>
    <t>UK10263</t>
  </si>
  <si>
    <t>UK10264</t>
  </si>
  <si>
    <t>UK10265</t>
  </si>
  <si>
    <t>UK10266</t>
  </si>
  <si>
    <t>UK10267</t>
  </si>
  <si>
    <t>UK10268</t>
  </si>
  <si>
    <t>UK10269</t>
  </si>
  <si>
    <t>UK10270</t>
  </si>
  <si>
    <t>UK10271</t>
  </si>
  <si>
    <t>UK10272</t>
  </si>
  <si>
    <t>UK10273</t>
  </si>
  <si>
    <t>UK10274</t>
  </si>
  <si>
    <t>UK10275</t>
  </si>
  <si>
    <t>UK10276</t>
  </si>
  <si>
    <t>UK10277</t>
  </si>
  <si>
    <t>UK10278</t>
  </si>
  <si>
    <t>UK10279</t>
  </si>
  <si>
    <t>UK10280</t>
  </si>
  <si>
    <t>UK10281</t>
  </si>
  <si>
    <t>UK10282</t>
  </si>
  <si>
    <t>UK10283</t>
  </si>
  <si>
    <t>UK10284</t>
  </si>
  <si>
    <t>UK10285</t>
  </si>
  <si>
    <t>UK10286</t>
  </si>
  <si>
    <t>UK10287</t>
  </si>
  <si>
    <t>UK10288</t>
  </si>
  <si>
    <t>UK10289</t>
  </si>
  <si>
    <t>UK10290</t>
  </si>
  <si>
    <t>UK10291</t>
  </si>
  <si>
    <t>UK10292</t>
  </si>
  <si>
    <t>UK10293</t>
  </si>
  <si>
    <t>UK10294</t>
  </si>
  <si>
    <t>UK10295</t>
  </si>
  <si>
    <t>UK10296</t>
  </si>
  <si>
    <t>UK10297</t>
  </si>
  <si>
    <t>UK10298</t>
  </si>
  <si>
    <t>UK10299</t>
  </si>
  <si>
    <t>UK10300</t>
  </si>
  <si>
    <t>UK10301</t>
  </si>
  <si>
    <t>UK10302</t>
  </si>
  <si>
    <t>UK10303</t>
  </si>
  <si>
    <t>UK10304</t>
  </si>
  <si>
    <t>UK10305</t>
  </si>
  <si>
    <t>UK10306</t>
  </si>
  <si>
    <t>UK10307</t>
  </si>
  <si>
    <t>UK10308</t>
  </si>
  <si>
    <t>UK10309</t>
  </si>
  <si>
    <t>UK10310</t>
  </si>
  <si>
    <t>UK10311</t>
  </si>
  <si>
    <t>UK10312</t>
  </si>
  <si>
    <t>UK10313</t>
  </si>
  <si>
    <t>UK10314</t>
  </si>
  <si>
    <t>UK10315</t>
  </si>
  <si>
    <t>UK10316</t>
  </si>
  <si>
    <t>UK10317</t>
  </si>
  <si>
    <t>UK10318</t>
  </si>
  <si>
    <t>UK10319</t>
  </si>
  <si>
    <t>UK10320</t>
  </si>
  <si>
    <t>UK10321</t>
  </si>
  <si>
    <t>UK10322</t>
  </si>
  <si>
    <t>UK10323</t>
  </si>
  <si>
    <t>UK10324</t>
  </si>
  <si>
    <t>UK10325</t>
  </si>
  <si>
    <t>UK10326</t>
  </si>
  <si>
    <t>UK10327</t>
  </si>
  <si>
    <t>UK10328</t>
  </si>
  <si>
    <t>UK10329</t>
  </si>
  <si>
    <t>UK10330</t>
  </si>
  <si>
    <t>UK10331</t>
  </si>
  <si>
    <t>UK10332</t>
  </si>
  <si>
    <t>UK10333</t>
  </si>
  <si>
    <t>UK10334</t>
  </si>
  <si>
    <t>UK10335</t>
  </si>
  <si>
    <t>UK10336</t>
  </si>
  <si>
    <t>UK10337</t>
  </si>
  <si>
    <t>UK10338</t>
  </si>
  <si>
    <t>UK10339</t>
  </si>
  <si>
    <t>UK10340</t>
  </si>
  <si>
    <t>UK10341</t>
  </si>
  <si>
    <t>Home Products</t>
  </si>
  <si>
    <t>Kitchen</t>
  </si>
  <si>
    <t>UK10342</t>
  </si>
  <si>
    <t>Decor</t>
  </si>
  <si>
    <t>UK10343</t>
  </si>
  <si>
    <t>UK10344</t>
  </si>
  <si>
    <t>Cleaning</t>
  </si>
  <si>
    <t>UK10345</t>
  </si>
  <si>
    <t>Furniture</t>
  </si>
  <si>
    <t>UK10346</t>
  </si>
  <si>
    <t>UK10347</t>
  </si>
  <si>
    <t>UK10348</t>
  </si>
  <si>
    <t>UK10349</t>
  </si>
  <si>
    <t>UK10350</t>
  </si>
  <si>
    <t>UK10351</t>
  </si>
  <si>
    <t>UK10352</t>
  </si>
  <si>
    <t>UK10353</t>
  </si>
  <si>
    <t>UK10354</t>
  </si>
  <si>
    <t>UK10355</t>
  </si>
  <si>
    <t>UK10356</t>
  </si>
  <si>
    <t>UK10357</t>
  </si>
  <si>
    <t>UK10358</t>
  </si>
  <si>
    <t>UK10359</t>
  </si>
  <si>
    <t>UK10360</t>
  </si>
  <si>
    <t>UK10361</t>
  </si>
  <si>
    <t>UK10362</t>
  </si>
  <si>
    <t>UK10363</t>
  </si>
  <si>
    <t>UK10364</t>
  </si>
  <si>
    <t>UK10365</t>
  </si>
  <si>
    <t>UK10366</t>
  </si>
  <si>
    <t>UK10367</t>
  </si>
  <si>
    <t>UK10368</t>
  </si>
  <si>
    <t>UK10369</t>
  </si>
  <si>
    <t>UK10370</t>
  </si>
  <si>
    <t>UK10371</t>
  </si>
  <si>
    <t>UK10372</t>
  </si>
  <si>
    <t>UK10373</t>
  </si>
  <si>
    <t>UK10374</t>
  </si>
  <si>
    <t>UK10375</t>
  </si>
  <si>
    <t>UK10376</t>
  </si>
  <si>
    <t>UK10377</t>
  </si>
  <si>
    <t>UK10378</t>
  </si>
  <si>
    <t>UK10379</t>
  </si>
  <si>
    <t>UK10380</t>
  </si>
  <si>
    <t>UK10381</t>
  </si>
  <si>
    <t>UK10382</t>
  </si>
  <si>
    <t>UK10383</t>
  </si>
  <si>
    <t>UK10384</t>
  </si>
  <si>
    <t>UK10385</t>
  </si>
  <si>
    <t>UK10386</t>
  </si>
  <si>
    <t>UK10387</t>
  </si>
  <si>
    <t>UK10388</t>
  </si>
  <si>
    <t>UK10389</t>
  </si>
  <si>
    <t>UK10390</t>
  </si>
  <si>
    <t>UK10391</t>
  </si>
  <si>
    <t>UK10392</t>
  </si>
  <si>
    <t>UK10393</t>
  </si>
  <si>
    <t>UK10394</t>
  </si>
  <si>
    <t>UK10395</t>
  </si>
  <si>
    <t>UK10396</t>
  </si>
  <si>
    <t>UK10397</t>
  </si>
  <si>
    <t>UK10398</t>
  </si>
  <si>
    <t>UK10399</t>
  </si>
  <si>
    <t>UK10400</t>
  </si>
  <si>
    <t>UK10401</t>
  </si>
  <si>
    <t>UK10402</t>
  </si>
  <si>
    <t>UK10403</t>
  </si>
  <si>
    <t>UK10404</t>
  </si>
  <si>
    <t>UK10405</t>
  </si>
  <si>
    <t>UK10406</t>
  </si>
  <si>
    <t>UK10407</t>
  </si>
  <si>
    <t>UK10408</t>
  </si>
  <si>
    <t>UK10409</t>
  </si>
  <si>
    <t>UK10410</t>
  </si>
  <si>
    <t>UK10411</t>
  </si>
  <si>
    <t>UK10412</t>
  </si>
  <si>
    <t>UK10413</t>
  </si>
  <si>
    <t>UK10414</t>
  </si>
  <si>
    <t>UK10415</t>
  </si>
  <si>
    <t>UK10416</t>
  </si>
  <si>
    <t>UK10417</t>
  </si>
  <si>
    <t>UK10418</t>
  </si>
  <si>
    <t>UK10419</t>
  </si>
  <si>
    <t>UK10420</t>
  </si>
  <si>
    <t>UK10421</t>
  </si>
  <si>
    <t>UK10422</t>
  </si>
  <si>
    <t>UK10423</t>
  </si>
  <si>
    <t>UK10424</t>
  </si>
  <si>
    <t>UK10425</t>
  </si>
  <si>
    <t>UK10426</t>
  </si>
  <si>
    <t>UK10427</t>
  </si>
  <si>
    <t>UK10428</t>
  </si>
  <si>
    <t>UK10429</t>
  </si>
  <si>
    <t>UK10430</t>
  </si>
  <si>
    <t>UK10431</t>
  </si>
  <si>
    <t>UK10432</t>
  </si>
  <si>
    <t>UK10433</t>
  </si>
  <si>
    <t>UK10434</t>
  </si>
  <si>
    <t>UK10435</t>
  </si>
  <si>
    <t>UK10436</t>
  </si>
  <si>
    <t>UK10437</t>
  </si>
  <si>
    <t>UK10438</t>
  </si>
  <si>
    <t>UK10439</t>
  </si>
  <si>
    <t>UK10440</t>
  </si>
  <si>
    <t>UK10441</t>
  </si>
  <si>
    <t>UK10442</t>
  </si>
  <si>
    <t>UK10443</t>
  </si>
  <si>
    <t>UK10444</t>
  </si>
  <si>
    <t>UK10445</t>
  </si>
  <si>
    <t>UK10446</t>
  </si>
  <si>
    <t>UK10447</t>
  </si>
  <si>
    <t>UK10448</t>
  </si>
  <si>
    <t>UK10449</t>
  </si>
  <si>
    <t>UK10450</t>
  </si>
  <si>
    <t>UK10451</t>
  </si>
  <si>
    <t>UK10452</t>
  </si>
  <si>
    <t>UK10453</t>
  </si>
  <si>
    <t>UK10454</t>
  </si>
  <si>
    <t>UK10455</t>
  </si>
  <si>
    <t>UK10456</t>
  </si>
  <si>
    <t>UK10457</t>
  </si>
  <si>
    <t>UK10458</t>
  </si>
  <si>
    <t>UK10459</t>
  </si>
  <si>
    <t>UK10460</t>
  </si>
  <si>
    <t>UK10461</t>
  </si>
  <si>
    <t>UK10462</t>
  </si>
  <si>
    <t>UK10463</t>
  </si>
  <si>
    <t>UK10464</t>
  </si>
  <si>
    <t>UK10465</t>
  </si>
  <si>
    <t>UK10466</t>
  </si>
  <si>
    <t>UK10467</t>
  </si>
  <si>
    <t>UK10468</t>
  </si>
  <si>
    <t>UK10469</t>
  </si>
  <si>
    <t>UK10470</t>
  </si>
  <si>
    <t>UK10471</t>
  </si>
  <si>
    <t>UK10472</t>
  </si>
  <si>
    <t>UK10473</t>
  </si>
  <si>
    <t>UK10474</t>
  </si>
  <si>
    <t>UK10475</t>
  </si>
  <si>
    <t>UK10476</t>
  </si>
  <si>
    <t>UK10477</t>
  </si>
  <si>
    <t>UK10478</t>
  </si>
  <si>
    <t>UK10479</t>
  </si>
  <si>
    <t>UK10480</t>
  </si>
  <si>
    <t>UK10481</t>
  </si>
  <si>
    <t>Q2 FY2026</t>
  </si>
  <si>
    <t>UK10482</t>
  </si>
  <si>
    <t>UK10483</t>
  </si>
  <si>
    <t>UK10484</t>
  </si>
  <si>
    <t>UK10485</t>
  </si>
  <si>
    <t>UK10486</t>
  </si>
  <si>
    <t>UK10487</t>
  </si>
  <si>
    <t>UK10488</t>
  </si>
  <si>
    <t>UK10489</t>
  </si>
  <si>
    <t>UK10490</t>
  </si>
  <si>
    <t>UK10491</t>
  </si>
  <si>
    <t>UK10492</t>
  </si>
  <si>
    <t>UK10493</t>
  </si>
  <si>
    <t>UK10494</t>
  </si>
  <si>
    <t>UK10495</t>
  </si>
  <si>
    <t>UK10496</t>
  </si>
  <si>
    <t>UK10497</t>
  </si>
  <si>
    <t>UK10498</t>
  </si>
  <si>
    <t>UK10499</t>
  </si>
  <si>
    <t>UK10500</t>
  </si>
  <si>
    <t>UK10501</t>
  </si>
  <si>
    <t>UK10502</t>
  </si>
  <si>
    <t>UK10503</t>
  </si>
  <si>
    <t>UK10504</t>
  </si>
  <si>
    <t>UK10505</t>
  </si>
  <si>
    <t>UK10506</t>
  </si>
  <si>
    <t>UK10507</t>
  </si>
  <si>
    <t>UK10508</t>
  </si>
  <si>
    <t>UK10509</t>
  </si>
  <si>
    <t>UK10510</t>
  </si>
  <si>
    <t>UK10511</t>
  </si>
  <si>
    <t>UK10512</t>
  </si>
  <si>
    <t>UK10513</t>
  </si>
  <si>
    <t>UK10514</t>
  </si>
  <si>
    <t>UK10515</t>
  </si>
  <si>
    <t>UK10516</t>
  </si>
  <si>
    <t>UK10517</t>
  </si>
  <si>
    <t>UK10518</t>
  </si>
  <si>
    <t>UK10519</t>
  </si>
  <si>
    <t>UK10520</t>
  </si>
  <si>
    <t>UK10521</t>
  </si>
  <si>
    <t>UK10522</t>
  </si>
  <si>
    <t>UK10523</t>
  </si>
  <si>
    <t>UK10524</t>
  </si>
  <si>
    <t>UK10525</t>
  </si>
  <si>
    <t>UK10526</t>
  </si>
  <si>
    <t>UK10527</t>
  </si>
  <si>
    <t>UK10528</t>
  </si>
  <si>
    <t>UK10529</t>
  </si>
  <si>
    <t>UK10530</t>
  </si>
  <si>
    <t>UK10531</t>
  </si>
  <si>
    <t>UK10532</t>
  </si>
  <si>
    <t>UK10533</t>
  </si>
  <si>
    <t>UK10534</t>
  </si>
  <si>
    <t>UK10535</t>
  </si>
  <si>
    <t>UK10536</t>
  </si>
  <si>
    <t>UK10537</t>
  </si>
  <si>
    <t>UK10538</t>
  </si>
  <si>
    <t>UK10539</t>
  </si>
  <si>
    <t>UK10540</t>
  </si>
  <si>
    <t>UK10541</t>
  </si>
  <si>
    <t>UK10542</t>
  </si>
  <si>
    <t>UK10543</t>
  </si>
  <si>
    <t>UK10544</t>
  </si>
  <si>
    <t>UK10545</t>
  </si>
  <si>
    <t>UK10546</t>
  </si>
  <si>
    <t>UK10547</t>
  </si>
  <si>
    <t>UK10548</t>
  </si>
  <si>
    <t>UK10549</t>
  </si>
  <si>
    <t>UK10550</t>
  </si>
  <si>
    <t>UK10551</t>
  </si>
  <si>
    <t>UK10552</t>
  </si>
  <si>
    <t>UK10553</t>
  </si>
  <si>
    <t>UK10554</t>
  </si>
  <si>
    <t>UK10555</t>
  </si>
  <si>
    <t>UK10556</t>
  </si>
  <si>
    <t>UK10557</t>
  </si>
  <si>
    <t>UK10558</t>
  </si>
  <si>
    <t>UK10559</t>
  </si>
  <si>
    <t>UK10560</t>
  </si>
  <si>
    <t>UK10561</t>
  </si>
  <si>
    <t>UK10562</t>
  </si>
  <si>
    <t>UK10563</t>
  </si>
  <si>
    <t>UK10564</t>
  </si>
  <si>
    <t>UK10565</t>
  </si>
  <si>
    <t>UK10566</t>
  </si>
  <si>
    <t>UK10567</t>
  </si>
  <si>
    <t>UK10568</t>
  </si>
  <si>
    <t>UK10569</t>
  </si>
  <si>
    <t>UK10570</t>
  </si>
  <si>
    <t>UK10571</t>
  </si>
  <si>
    <t>UK10572</t>
  </si>
  <si>
    <t>UK10573</t>
  </si>
  <si>
    <t>UK10574</t>
  </si>
  <si>
    <t>UK10575</t>
  </si>
  <si>
    <t>UK10576</t>
  </si>
  <si>
    <t>UK10577</t>
  </si>
  <si>
    <t>UK10578</t>
  </si>
  <si>
    <t>UK10579</t>
  </si>
  <si>
    <t>UK10580</t>
  </si>
  <si>
    <t>UK10581</t>
  </si>
  <si>
    <t>UK10582</t>
  </si>
  <si>
    <t>UK10583</t>
  </si>
  <si>
    <t>UK10584</t>
  </si>
  <si>
    <t>UK10585</t>
  </si>
  <si>
    <t>UK10586</t>
  </si>
  <si>
    <t>UK10587</t>
  </si>
  <si>
    <t>UK10588</t>
  </si>
  <si>
    <t>UK10589</t>
  </si>
  <si>
    <t>UK10590</t>
  </si>
  <si>
    <t>UK10591</t>
  </si>
  <si>
    <t>UK10592</t>
  </si>
  <si>
    <t>UK10593</t>
  </si>
  <si>
    <t>UK10594</t>
  </si>
  <si>
    <t>UK10595</t>
  </si>
  <si>
    <t>UK10596</t>
  </si>
  <si>
    <t>UK10597</t>
  </si>
  <si>
    <t>UK10598</t>
  </si>
  <si>
    <t>UK10599</t>
  </si>
  <si>
    <t>UK10600</t>
  </si>
  <si>
    <t>UK10601</t>
  </si>
  <si>
    <t>UK10602</t>
  </si>
  <si>
    <t>UK10603</t>
  </si>
  <si>
    <t>UK10604</t>
  </si>
  <si>
    <t>UK10605</t>
  </si>
  <si>
    <t>UK10606</t>
  </si>
  <si>
    <t>UK10607</t>
  </si>
  <si>
    <t>UK10608</t>
  </si>
  <si>
    <t>UK10609</t>
  </si>
  <si>
    <t>UK10610</t>
  </si>
  <si>
    <t>UK10611</t>
  </si>
  <si>
    <t>UK10612</t>
  </si>
  <si>
    <t>UK10613</t>
  </si>
  <si>
    <t>UK10614</t>
  </si>
  <si>
    <t>UK10615</t>
  </si>
  <si>
    <t>UK10616</t>
  </si>
  <si>
    <t>UK10617</t>
  </si>
  <si>
    <t>UK10618</t>
  </si>
  <si>
    <t>UK10619</t>
  </si>
  <si>
    <t>UK10620</t>
  </si>
  <si>
    <t>UK10621</t>
  </si>
  <si>
    <t>UK10622</t>
  </si>
  <si>
    <t>UK10623</t>
  </si>
  <si>
    <t>UK10624</t>
  </si>
  <si>
    <t>UK10625</t>
  </si>
  <si>
    <t>UK10626</t>
  </si>
  <si>
    <t>UK10627</t>
  </si>
  <si>
    <t>UK10628</t>
  </si>
  <si>
    <t>UK10629</t>
  </si>
  <si>
    <t>UK10630</t>
  </si>
  <si>
    <t>UK10631</t>
  </si>
  <si>
    <t>UK10632</t>
  </si>
  <si>
    <t>UK10633</t>
  </si>
  <si>
    <t>UK10634</t>
  </si>
  <si>
    <t>UK10635</t>
  </si>
  <si>
    <t>UK10636</t>
  </si>
  <si>
    <t>UK10637</t>
  </si>
  <si>
    <t>UK10638</t>
  </si>
  <si>
    <t>UK10639</t>
  </si>
  <si>
    <t>UK10640</t>
  </si>
  <si>
    <t>UK10641</t>
  </si>
  <si>
    <t>UK10642</t>
  </si>
  <si>
    <t>UK10643</t>
  </si>
  <si>
    <t>UK10644</t>
  </si>
  <si>
    <t>UK10645</t>
  </si>
  <si>
    <t>UK10646</t>
  </si>
  <si>
    <t>UK10647</t>
  </si>
  <si>
    <t>UK10648</t>
  </si>
  <si>
    <t>UK10649</t>
  </si>
  <si>
    <t>UK10650</t>
  </si>
  <si>
    <t>UK10651</t>
  </si>
  <si>
    <t>UK10652</t>
  </si>
  <si>
    <t>UK10653</t>
  </si>
  <si>
    <t>UK10654</t>
  </si>
  <si>
    <t>UK10655</t>
  </si>
  <si>
    <t>UK10656</t>
  </si>
  <si>
    <t>UK10657</t>
  </si>
  <si>
    <t>UK10658</t>
  </si>
  <si>
    <t>UK10659</t>
  </si>
  <si>
    <t>UK10660</t>
  </si>
  <si>
    <t>UK10661</t>
  </si>
  <si>
    <t>UK10662</t>
  </si>
  <si>
    <t>UK10663</t>
  </si>
  <si>
    <t>UK10664</t>
  </si>
  <si>
    <t>UK10665</t>
  </si>
  <si>
    <t>UK10666</t>
  </si>
  <si>
    <t>UK10667</t>
  </si>
  <si>
    <t>UK10668</t>
  </si>
  <si>
    <t>UK10669</t>
  </si>
  <si>
    <t>UK10670</t>
  </si>
  <si>
    <t>UK10671</t>
  </si>
  <si>
    <t>UK10672</t>
  </si>
  <si>
    <t>UK10673</t>
  </si>
  <si>
    <t>UK10674</t>
  </si>
  <si>
    <t>UK10675</t>
  </si>
  <si>
    <t>UK10676</t>
  </si>
  <si>
    <t>UK10677</t>
  </si>
  <si>
    <t>UK10678</t>
  </si>
  <si>
    <t>UK10679</t>
  </si>
  <si>
    <t>UK10680</t>
  </si>
  <si>
    <t>UK10681</t>
  </si>
  <si>
    <t>UK10682</t>
  </si>
  <si>
    <t>UK10683</t>
  </si>
  <si>
    <t>UK10684</t>
  </si>
  <si>
    <t>UK10685</t>
  </si>
  <si>
    <t>UK10686</t>
  </si>
  <si>
    <t>UK10687</t>
  </si>
  <si>
    <t>UK10688</t>
  </si>
  <si>
    <t>UK10689</t>
  </si>
  <si>
    <t>UK10690</t>
  </si>
  <si>
    <t>UK10691</t>
  </si>
  <si>
    <t>UK10692</t>
  </si>
  <si>
    <t>UK10693</t>
  </si>
  <si>
    <t>UK10694</t>
  </si>
  <si>
    <t>UK10695</t>
  </si>
  <si>
    <t>UK10696</t>
  </si>
  <si>
    <t>UK10697</t>
  </si>
  <si>
    <t>UK10698</t>
  </si>
  <si>
    <t>UK10699</t>
  </si>
  <si>
    <t>UK10700</t>
  </si>
  <si>
    <t>UK10701</t>
  </si>
  <si>
    <t>UK10702</t>
  </si>
  <si>
    <t>UK10703</t>
  </si>
  <si>
    <t>UK10704</t>
  </si>
  <si>
    <t>UK10705</t>
  </si>
  <si>
    <t>UK10706</t>
  </si>
  <si>
    <t>UK10707</t>
  </si>
  <si>
    <t>UK10708</t>
  </si>
  <si>
    <t>UK10709</t>
  </si>
  <si>
    <t>UK10710</t>
  </si>
  <si>
    <t>UK10711</t>
  </si>
  <si>
    <t>UK10712</t>
  </si>
  <si>
    <t>UK10713</t>
  </si>
  <si>
    <t>UK10714</t>
  </si>
  <si>
    <t>UK10715</t>
  </si>
  <si>
    <t>UK10716</t>
  </si>
  <si>
    <t>UK10717</t>
  </si>
  <si>
    <t>UK10718</t>
  </si>
  <si>
    <t>UK10719</t>
  </si>
  <si>
    <t>UK10720</t>
  </si>
  <si>
    <t>UK10721</t>
  </si>
  <si>
    <t>UK10722</t>
  </si>
  <si>
    <t>UK10723</t>
  </si>
  <si>
    <t>UK10724</t>
  </si>
  <si>
    <t>UK10725</t>
  </si>
  <si>
    <t>UK10726</t>
  </si>
  <si>
    <t>UK10727</t>
  </si>
  <si>
    <t>UK10728</t>
  </si>
  <si>
    <t>UK10729</t>
  </si>
  <si>
    <t>UK10730</t>
  </si>
  <si>
    <t>UK10731</t>
  </si>
  <si>
    <t>UK10732</t>
  </si>
  <si>
    <t>UK10733</t>
  </si>
  <si>
    <t>UK10734</t>
  </si>
  <si>
    <t>UK10735</t>
  </si>
  <si>
    <t>UK10736</t>
  </si>
  <si>
    <t>UK10737</t>
  </si>
  <si>
    <t>UK10738</t>
  </si>
  <si>
    <t>UK10739</t>
  </si>
  <si>
    <t>UK10740</t>
  </si>
  <si>
    <t>UK10741</t>
  </si>
  <si>
    <t>UK10742</t>
  </si>
  <si>
    <t>UK10743</t>
  </si>
  <si>
    <t>UK10744</t>
  </si>
  <si>
    <t>UK10745</t>
  </si>
  <si>
    <t>UK10746</t>
  </si>
  <si>
    <t>UK10747</t>
  </si>
  <si>
    <t>UK10748</t>
  </si>
  <si>
    <t>UK10749</t>
  </si>
  <si>
    <t>UK10750</t>
  </si>
  <si>
    <t>UK10751</t>
  </si>
  <si>
    <t>UK10752</t>
  </si>
  <si>
    <t>UK10753</t>
  </si>
  <si>
    <t>UK10754</t>
  </si>
  <si>
    <t>UK10755</t>
  </si>
  <si>
    <t>UK10756</t>
  </si>
  <si>
    <t>UK10757</t>
  </si>
  <si>
    <t>UK10758</t>
  </si>
  <si>
    <t>UK10759</t>
  </si>
  <si>
    <t>UK10760</t>
  </si>
  <si>
    <t>UK10761</t>
  </si>
  <si>
    <t>UK10762</t>
  </si>
  <si>
    <t>UK10763</t>
  </si>
  <si>
    <t>UK10764</t>
  </si>
  <si>
    <t>UK10765</t>
  </si>
  <si>
    <t>UK10766</t>
  </si>
  <si>
    <t>UK10767</t>
  </si>
  <si>
    <t>UK10768</t>
  </si>
  <si>
    <t>UK10769</t>
  </si>
  <si>
    <t>UK10770</t>
  </si>
  <si>
    <t>UK10771</t>
  </si>
  <si>
    <t>UK10772</t>
  </si>
  <si>
    <t>UK10773</t>
  </si>
  <si>
    <t>UK10774</t>
  </si>
  <si>
    <t>UK10775</t>
  </si>
  <si>
    <t>UK10776</t>
  </si>
  <si>
    <t>UK10777</t>
  </si>
  <si>
    <t>UK10778</t>
  </si>
  <si>
    <t>UK10779</t>
  </si>
  <si>
    <t>UK10780</t>
  </si>
  <si>
    <t>UK10781</t>
  </si>
  <si>
    <t>UK10782</t>
  </si>
  <si>
    <t>UK10783</t>
  </si>
  <si>
    <t>UK10784</t>
  </si>
  <si>
    <t>UK10785</t>
  </si>
  <si>
    <t>UK10786</t>
  </si>
  <si>
    <t>UK10787</t>
  </si>
  <si>
    <t>UK10788</t>
  </si>
  <si>
    <t>UK10789</t>
  </si>
  <si>
    <t>UK10790</t>
  </si>
  <si>
    <t>UK10791</t>
  </si>
  <si>
    <t>UK10792</t>
  </si>
  <si>
    <t>UK10793</t>
  </si>
  <si>
    <t>UK10794</t>
  </si>
  <si>
    <t>UK10795</t>
  </si>
  <si>
    <t>UK10796</t>
  </si>
  <si>
    <t>UK10797</t>
  </si>
  <si>
    <t>UK10798</t>
  </si>
  <si>
    <t>UK10799</t>
  </si>
  <si>
    <t>UK10800</t>
  </si>
  <si>
    <t>UK10801</t>
  </si>
  <si>
    <t>UK10802</t>
  </si>
  <si>
    <t>UK10803</t>
  </si>
  <si>
    <t>UK10804</t>
  </si>
  <si>
    <t>UK10805</t>
  </si>
  <si>
    <t>UK10806</t>
  </si>
  <si>
    <t>UK10807</t>
  </si>
  <si>
    <t>UK10808</t>
  </si>
  <si>
    <t>UK10809</t>
  </si>
  <si>
    <t>UK10810</t>
  </si>
  <si>
    <t>UK10811</t>
  </si>
  <si>
    <t>UK10812</t>
  </si>
  <si>
    <t>UK10813</t>
  </si>
  <si>
    <t>UK10814</t>
  </si>
  <si>
    <t>UK10815</t>
  </si>
  <si>
    <t>UK10816</t>
  </si>
  <si>
    <t>UK10817</t>
  </si>
  <si>
    <t>UK10818</t>
  </si>
  <si>
    <t>UK10819</t>
  </si>
  <si>
    <t>UK10820</t>
  </si>
  <si>
    <t>UK10821</t>
  </si>
  <si>
    <t>UK10822</t>
  </si>
  <si>
    <t>UK10823</t>
  </si>
  <si>
    <t>UK10824</t>
  </si>
  <si>
    <t>UK10825</t>
  </si>
  <si>
    <t>UK10826</t>
  </si>
  <si>
    <t>UK10827</t>
  </si>
  <si>
    <t>UK10828</t>
  </si>
  <si>
    <t>UK10829</t>
  </si>
  <si>
    <t>UK10830</t>
  </si>
  <si>
    <t>UK10831</t>
  </si>
  <si>
    <t>UK10832</t>
  </si>
  <si>
    <t>UK10833</t>
  </si>
  <si>
    <t>UK10834</t>
  </si>
  <si>
    <t>UK10835</t>
  </si>
  <si>
    <t>UK10836</t>
  </si>
  <si>
    <t>UK10837</t>
  </si>
  <si>
    <t>UK10838</t>
  </si>
  <si>
    <t>UK10839</t>
  </si>
  <si>
    <t>UK10840</t>
  </si>
  <si>
    <t>UK10841</t>
  </si>
  <si>
    <t>UK10842</t>
  </si>
  <si>
    <t>UK10843</t>
  </si>
  <si>
    <t>UK10844</t>
  </si>
  <si>
    <t>UK10845</t>
  </si>
  <si>
    <t>UK10846</t>
  </si>
  <si>
    <t>UK10847</t>
  </si>
  <si>
    <t>UK10848</t>
  </si>
  <si>
    <t>UK10849</t>
  </si>
  <si>
    <t>UK10850</t>
  </si>
  <si>
    <t>UK10851</t>
  </si>
  <si>
    <t>UK10852</t>
  </si>
  <si>
    <t>UK10853</t>
  </si>
  <si>
    <t>UK10854</t>
  </si>
  <si>
    <t>UK10855</t>
  </si>
  <si>
    <t>UK10856</t>
  </si>
  <si>
    <t>UK10857</t>
  </si>
  <si>
    <t>UK10858</t>
  </si>
  <si>
    <t>UK10859</t>
  </si>
  <si>
    <t>UK10860</t>
  </si>
  <si>
    <t>UK10861</t>
  </si>
  <si>
    <t>UK10862</t>
  </si>
  <si>
    <t>UK10863</t>
  </si>
  <si>
    <t>UK10864</t>
  </si>
  <si>
    <t>UK10865</t>
  </si>
  <si>
    <t>UK10866</t>
  </si>
  <si>
    <t>UK10867</t>
  </si>
  <si>
    <t>UK10868</t>
  </si>
  <si>
    <t>UK10869</t>
  </si>
  <si>
    <t>UK10870</t>
  </si>
  <si>
    <t>UK10871</t>
  </si>
  <si>
    <t>UK10872</t>
  </si>
  <si>
    <t>UK10873</t>
  </si>
  <si>
    <t>UK10874</t>
  </si>
  <si>
    <t>UK10875</t>
  </si>
  <si>
    <t>UK10876</t>
  </si>
  <si>
    <t>UK10877</t>
  </si>
  <si>
    <t>UK10878</t>
  </si>
  <si>
    <t>UK10879</t>
  </si>
  <si>
    <t>UK10880</t>
  </si>
  <si>
    <t>UK10881</t>
  </si>
  <si>
    <t>UK10882</t>
  </si>
  <si>
    <t>UK10883</t>
  </si>
  <si>
    <t>UK10884</t>
  </si>
  <si>
    <t>UK10885</t>
  </si>
  <si>
    <t>UK10886</t>
  </si>
  <si>
    <t>UK10887</t>
  </si>
  <si>
    <t>UK10888</t>
  </si>
  <si>
    <t>UK10889</t>
  </si>
  <si>
    <t>UK10890</t>
  </si>
  <si>
    <t>UK10891</t>
  </si>
  <si>
    <t>UK10892</t>
  </si>
  <si>
    <t>UK10893</t>
  </si>
  <si>
    <t>UK10894</t>
  </si>
  <si>
    <t>UK10895</t>
  </si>
  <si>
    <t>UK10896</t>
  </si>
  <si>
    <t>UK10897</t>
  </si>
  <si>
    <t>UK10898</t>
  </si>
  <si>
    <t>UK10899</t>
  </si>
  <si>
    <t>UK10900</t>
  </si>
  <si>
    <t>UK10901</t>
  </si>
  <si>
    <t>UK10902</t>
  </si>
  <si>
    <t>UK10903</t>
  </si>
  <si>
    <t>UK10904</t>
  </si>
  <si>
    <t>UK10905</t>
  </si>
  <si>
    <t>UK10906</t>
  </si>
  <si>
    <t>UK10907</t>
  </si>
  <si>
    <t>UK10908</t>
  </si>
  <si>
    <t>UK10909</t>
  </si>
  <si>
    <t>UK10910</t>
  </si>
  <si>
    <t>UK10911</t>
  </si>
  <si>
    <t>UK10912</t>
  </si>
  <si>
    <t>UK10913</t>
  </si>
  <si>
    <t>UK10914</t>
  </si>
  <si>
    <t>UK10915</t>
  </si>
  <si>
    <t>UK10916</t>
  </si>
  <si>
    <t>UK10917</t>
  </si>
  <si>
    <t>UK10918</t>
  </si>
  <si>
    <t>UK10919</t>
  </si>
  <si>
    <t>UK10920</t>
  </si>
  <si>
    <t>UK10921</t>
  </si>
  <si>
    <t>UK10922</t>
  </si>
  <si>
    <t>UK10923</t>
  </si>
  <si>
    <t>UK10924</t>
  </si>
  <si>
    <t>UK10925</t>
  </si>
  <si>
    <t>UK10926</t>
  </si>
  <si>
    <t>UK10927</t>
  </si>
  <si>
    <t>UK10928</t>
  </si>
  <si>
    <t>UK10929</t>
  </si>
  <si>
    <t>UK10930</t>
  </si>
  <si>
    <t>UK10931</t>
  </si>
  <si>
    <t>UK10932</t>
  </si>
  <si>
    <t>UK10933</t>
  </si>
  <si>
    <t>UK10934</t>
  </si>
  <si>
    <t>UK10935</t>
  </si>
  <si>
    <t>UK10936</t>
  </si>
  <si>
    <t>UK10937</t>
  </si>
  <si>
    <t>UK10938</t>
  </si>
  <si>
    <t>UK10939</t>
  </si>
  <si>
    <t>UK10940</t>
  </si>
  <si>
    <t>UK10941</t>
  </si>
  <si>
    <t>UK10942</t>
  </si>
  <si>
    <t>UK10943</t>
  </si>
  <si>
    <t>UK10944</t>
  </si>
  <si>
    <t>UK10945</t>
  </si>
  <si>
    <t>UK10946</t>
  </si>
  <si>
    <t>UK10947</t>
  </si>
  <si>
    <t>UK10948</t>
  </si>
  <si>
    <t>UK10949</t>
  </si>
  <si>
    <t>UK10950</t>
  </si>
  <si>
    <t>UK10951</t>
  </si>
  <si>
    <t>UK10952</t>
  </si>
  <si>
    <t>UK10953</t>
  </si>
  <si>
    <t>UK10954</t>
  </si>
  <si>
    <t>UK10955</t>
  </si>
  <si>
    <t>UK10956</t>
  </si>
  <si>
    <t>UK10957</t>
  </si>
  <si>
    <t>UK10958</t>
  </si>
  <si>
    <t>UK10959</t>
  </si>
  <si>
    <t>UK10960</t>
  </si>
  <si>
    <t>UK10961</t>
  </si>
  <si>
    <t>UK10962</t>
  </si>
  <si>
    <t>UK10963</t>
  </si>
  <si>
    <t>UK10964</t>
  </si>
  <si>
    <t>UK10965</t>
  </si>
  <si>
    <t>UK10966</t>
  </si>
  <si>
    <t>UK10967</t>
  </si>
  <si>
    <t>UK10968</t>
  </si>
  <si>
    <t>UK10969</t>
  </si>
  <si>
    <t>UK10970</t>
  </si>
  <si>
    <t>UK10971</t>
  </si>
  <si>
    <t>UK10972</t>
  </si>
  <si>
    <t>UK10973</t>
  </si>
  <si>
    <t>UK10974</t>
  </si>
  <si>
    <t>UK10975</t>
  </si>
  <si>
    <t>UK10976</t>
  </si>
  <si>
    <t>UK10977</t>
  </si>
  <si>
    <t>UK10978</t>
  </si>
  <si>
    <t>UK10979</t>
  </si>
  <si>
    <t>UK10980</t>
  </si>
  <si>
    <t>UK10981</t>
  </si>
  <si>
    <t>UK10982</t>
  </si>
  <si>
    <t>UK10983</t>
  </si>
  <si>
    <t>UK10984</t>
  </si>
  <si>
    <t>UK10985</t>
  </si>
  <si>
    <t>UK10986</t>
  </si>
  <si>
    <t>UK10987</t>
  </si>
  <si>
    <t>UK10988</t>
  </si>
  <si>
    <t>UK10989</t>
  </si>
  <si>
    <t>UK10990</t>
  </si>
  <si>
    <t>UK10991</t>
  </si>
  <si>
    <t>UK10992</t>
  </si>
  <si>
    <t>UK10993</t>
  </si>
  <si>
    <t>UK10994</t>
  </si>
  <si>
    <t>UK10995</t>
  </si>
  <si>
    <t>UK10996</t>
  </si>
  <si>
    <t>UK10997</t>
  </si>
  <si>
    <t>UK10998</t>
  </si>
  <si>
    <t>UK10999</t>
  </si>
  <si>
    <t>UK11000</t>
  </si>
  <si>
    <t>UK11001</t>
  </si>
  <si>
    <t>UK11002</t>
  </si>
  <si>
    <t>UK11003</t>
  </si>
  <si>
    <t>UK11004</t>
  </si>
  <si>
    <t>UK11005</t>
  </si>
  <si>
    <t>UK11006</t>
  </si>
  <si>
    <t>UK11007</t>
  </si>
  <si>
    <t>UK11008</t>
  </si>
  <si>
    <t>UK11009</t>
  </si>
  <si>
    <t>UK11010</t>
  </si>
  <si>
    <t>Complaint_ID</t>
  </si>
  <si>
    <t>Complaint_Date</t>
  </si>
  <si>
    <t>Quarter (2026)</t>
  </si>
  <si>
    <t>Complaint_Type</t>
  </si>
  <si>
    <t>Severity</t>
  </si>
  <si>
    <t>Resolution_Days</t>
  </si>
  <si>
    <t>Resolved_Flag</t>
  </si>
  <si>
    <t>Customer_Rating_After_Resolution</t>
  </si>
  <si>
    <t>CMP5001</t>
  </si>
  <si>
    <t>Q1</t>
  </si>
  <si>
    <t>Defective product</t>
  </si>
  <si>
    <t>Medium</t>
  </si>
  <si>
    <t>CMP5002</t>
  </si>
  <si>
    <t>Refund delay</t>
  </si>
  <si>
    <t>CMP5003</t>
  </si>
  <si>
    <t>Late delivery</t>
  </si>
  <si>
    <t>CMP5004</t>
  </si>
  <si>
    <t>CMP5005</t>
  </si>
  <si>
    <t>CMP5006</t>
  </si>
  <si>
    <t>Wrong item delivered</t>
  </si>
  <si>
    <t>Low</t>
  </si>
  <si>
    <t>CMP5007</t>
  </si>
  <si>
    <t>High</t>
  </si>
  <si>
    <t>CMP5008</t>
  </si>
  <si>
    <t>CMP5009</t>
  </si>
  <si>
    <t>CMP5010</t>
  </si>
  <si>
    <t>Critical</t>
  </si>
  <si>
    <t>CMP5011</t>
  </si>
  <si>
    <t>CMP5012</t>
  </si>
  <si>
    <t>CMP5013</t>
  </si>
  <si>
    <t>CMP5014</t>
  </si>
  <si>
    <t>CMP5015</t>
  </si>
  <si>
    <t>CMP5016</t>
  </si>
  <si>
    <t>CMP5017</t>
  </si>
  <si>
    <t>CMP5018</t>
  </si>
  <si>
    <t>CMP5019</t>
  </si>
  <si>
    <t>CMP5020</t>
  </si>
  <si>
    <t>CMP5021</t>
  </si>
  <si>
    <t>CMP5022</t>
  </si>
  <si>
    <t>CMP5023</t>
  </si>
  <si>
    <t>CMP5024</t>
  </si>
  <si>
    <t>CMP5025</t>
  </si>
  <si>
    <t>CMP5026</t>
  </si>
  <si>
    <t>CMP5027</t>
  </si>
  <si>
    <t>CMP5028</t>
  </si>
  <si>
    <t>CMP5029</t>
  </si>
  <si>
    <t>CMP5030</t>
  </si>
  <si>
    <t>CMP5031</t>
  </si>
  <si>
    <t>CMP5032</t>
  </si>
  <si>
    <t>CMP5033</t>
  </si>
  <si>
    <t>CMP5034</t>
  </si>
  <si>
    <t>CMP5035</t>
  </si>
  <si>
    <t>CMP5036</t>
  </si>
  <si>
    <t>CMP5037</t>
  </si>
  <si>
    <t>CMP5038</t>
  </si>
  <si>
    <t>CMP5039</t>
  </si>
  <si>
    <t>CMP5040</t>
  </si>
  <si>
    <t>CMP5041</t>
  </si>
  <si>
    <t>CMP5042</t>
  </si>
  <si>
    <t>CMP5043</t>
  </si>
  <si>
    <t>CMP5044</t>
  </si>
  <si>
    <t>CMP5045</t>
  </si>
  <si>
    <t>CMP5046</t>
  </si>
  <si>
    <t>CMP5047</t>
  </si>
  <si>
    <t>CMP5048</t>
  </si>
  <si>
    <t>CMP5049</t>
  </si>
  <si>
    <t>CMP5050</t>
  </si>
  <si>
    <t>CMP5051</t>
  </si>
  <si>
    <t>CMP5052</t>
  </si>
  <si>
    <t>CMP5053</t>
  </si>
  <si>
    <t>CMP5054</t>
  </si>
  <si>
    <t>CMP5055</t>
  </si>
  <si>
    <t>CMP5056</t>
  </si>
  <si>
    <t>CMP5057</t>
  </si>
  <si>
    <t>CMP5058</t>
  </si>
  <si>
    <t>CMP5059</t>
  </si>
  <si>
    <t>CMP5060</t>
  </si>
  <si>
    <t>CMP5061</t>
  </si>
  <si>
    <t>CMP5062</t>
  </si>
  <si>
    <t>CMP5063</t>
  </si>
  <si>
    <t>CMP5064</t>
  </si>
  <si>
    <t>CMP5065</t>
  </si>
  <si>
    <t>CMP5066</t>
  </si>
  <si>
    <t>CMP5067</t>
  </si>
  <si>
    <t>CMP5068</t>
  </si>
  <si>
    <t>CMP5069</t>
  </si>
  <si>
    <t>CMP5070</t>
  </si>
  <si>
    <t>CMP5071</t>
  </si>
  <si>
    <t>CMP5072</t>
  </si>
  <si>
    <t>CMP5073</t>
  </si>
  <si>
    <t>CMP5074</t>
  </si>
  <si>
    <t>CMP5075</t>
  </si>
  <si>
    <t>CMP5076</t>
  </si>
  <si>
    <t>CMP5077</t>
  </si>
  <si>
    <t>CMP5078</t>
  </si>
  <si>
    <t>CMP5079</t>
  </si>
  <si>
    <t>CMP5080</t>
  </si>
  <si>
    <t>CMP5081</t>
  </si>
  <si>
    <t>CMP5082</t>
  </si>
  <si>
    <t>CMP5083</t>
  </si>
  <si>
    <t>CMP5084</t>
  </si>
  <si>
    <t>CMP5085</t>
  </si>
  <si>
    <t>CMP5086</t>
  </si>
  <si>
    <t>CMP5087</t>
  </si>
  <si>
    <t>CMP5088</t>
  </si>
  <si>
    <t>CMP5089</t>
  </si>
  <si>
    <t>CMP5090</t>
  </si>
  <si>
    <t>CMP5091</t>
  </si>
  <si>
    <t>CMP5092</t>
  </si>
  <si>
    <t>CMP5093</t>
  </si>
  <si>
    <t>CMP5094</t>
  </si>
  <si>
    <t>CMP5095</t>
  </si>
  <si>
    <t>CMP5096</t>
  </si>
  <si>
    <t>CMP5097</t>
  </si>
  <si>
    <t>CMP5098</t>
  </si>
  <si>
    <t>CMP5099</t>
  </si>
  <si>
    <t>CMP5100</t>
  </si>
  <si>
    <t>CMP5101</t>
  </si>
  <si>
    <t>CMP5102</t>
  </si>
  <si>
    <t>CMP5103</t>
  </si>
  <si>
    <t>CMP5104</t>
  </si>
  <si>
    <t>CMP5105</t>
  </si>
  <si>
    <t>CMP5106</t>
  </si>
  <si>
    <t>CMP5107</t>
  </si>
  <si>
    <t>CMP5108</t>
  </si>
  <si>
    <t>CMP5109</t>
  </si>
  <si>
    <t>CMP5110</t>
  </si>
  <si>
    <t>CMP5111</t>
  </si>
  <si>
    <t>CMP5112</t>
  </si>
  <si>
    <t>CMP5113</t>
  </si>
  <si>
    <t>CMP5114</t>
  </si>
  <si>
    <t>CMP5115</t>
  </si>
  <si>
    <t>CMP5116</t>
  </si>
  <si>
    <t>CMP5117</t>
  </si>
  <si>
    <t>CMP5118</t>
  </si>
  <si>
    <t>CMP5119</t>
  </si>
  <si>
    <t>CMP5120</t>
  </si>
  <si>
    <t>CMP5121</t>
  </si>
  <si>
    <t>CMP5122</t>
  </si>
  <si>
    <t>CMP5123</t>
  </si>
  <si>
    <t>CMP5124</t>
  </si>
  <si>
    <t>CMP5125</t>
  </si>
  <si>
    <t>CMP5126</t>
  </si>
  <si>
    <t>CMP5127</t>
  </si>
  <si>
    <t>CMP5128</t>
  </si>
  <si>
    <t>CMP5129</t>
  </si>
  <si>
    <t>CMP5130</t>
  </si>
  <si>
    <t>CMP5131</t>
  </si>
  <si>
    <t>CMP5132</t>
  </si>
  <si>
    <t>CMP5133</t>
  </si>
  <si>
    <t>CMP5134</t>
  </si>
  <si>
    <t>CMP5135</t>
  </si>
  <si>
    <t>CMP5136</t>
  </si>
  <si>
    <t>CMP5137</t>
  </si>
  <si>
    <t>CMP5138</t>
  </si>
  <si>
    <t>CMP5139</t>
  </si>
  <si>
    <t>CMP5140</t>
  </si>
  <si>
    <t>CMP5141</t>
  </si>
  <si>
    <t>CMP5142</t>
  </si>
  <si>
    <t>CMP5143</t>
  </si>
  <si>
    <t>CMP5144</t>
  </si>
  <si>
    <t>CMP5145</t>
  </si>
  <si>
    <t>CMP5146</t>
  </si>
  <si>
    <t>CMP5147</t>
  </si>
  <si>
    <t>CMP5148</t>
  </si>
  <si>
    <t>CMP5149</t>
  </si>
  <si>
    <t>CMP5150</t>
  </si>
  <si>
    <t>CMP5151</t>
  </si>
  <si>
    <t>CMP5152</t>
  </si>
  <si>
    <t>CMP5153</t>
  </si>
  <si>
    <t>CMP5154</t>
  </si>
  <si>
    <t>CMP5155</t>
  </si>
  <si>
    <t>CMP5156</t>
  </si>
  <si>
    <t>CMP5157</t>
  </si>
  <si>
    <t>CMP5158</t>
  </si>
  <si>
    <t>CMP5159</t>
  </si>
  <si>
    <t>CMP5160</t>
  </si>
  <si>
    <t>CMP5161</t>
  </si>
  <si>
    <t>CMP5162</t>
  </si>
  <si>
    <t>CMP5163</t>
  </si>
  <si>
    <t>CMP5164</t>
  </si>
  <si>
    <t>CMP5165</t>
  </si>
  <si>
    <t>CMP5166</t>
  </si>
  <si>
    <t>CMP5167</t>
  </si>
  <si>
    <t>CMP5168</t>
  </si>
  <si>
    <t>CMP5169</t>
  </si>
  <si>
    <t>CMP5170</t>
  </si>
  <si>
    <t>CMP5171</t>
  </si>
  <si>
    <t>CMP5172</t>
  </si>
  <si>
    <t>CMP5173</t>
  </si>
  <si>
    <t>CMP5174</t>
  </si>
  <si>
    <t>CMP5175</t>
  </si>
  <si>
    <t>CMP5176</t>
  </si>
  <si>
    <t>CMP5177</t>
  </si>
  <si>
    <t>CMP5178</t>
  </si>
  <si>
    <t>CMP5179</t>
  </si>
  <si>
    <t>CMP5180</t>
  </si>
  <si>
    <t>CMP5181</t>
  </si>
  <si>
    <t>CMP5182</t>
  </si>
  <si>
    <t>CMP5183</t>
  </si>
  <si>
    <t>CMP5184</t>
  </si>
  <si>
    <t>CMP5185</t>
  </si>
  <si>
    <t>CMP5186</t>
  </si>
  <si>
    <t>CMP5187</t>
  </si>
  <si>
    <t>CMP5188</t>
  </si>
  <si>
    <t>CMP5189</t>
  </si>
  <si>
    <t>CMP5190</t>
  </si>
  <si>
    <t>CMP5191</t>
  </si>
  <si>
    <t>CMP5192</t>
  </si>
  <si>
    <t>CMP5193</t>
  </si>
  <si>
    <t>CMP5194</t>
  </si>
  <si>
    <t>CMP5195</t>
  </si>
  <si>
    <t>CMP5196</t>
  </si>
  <si>
    <t>CMP5197</t>
  </si>
  <si>
    <t>CMP5198</t>
  </si>
  <si>
    <t>CMP5199</t>
  </si>
  <si>
    <t>CMP5200</t>
  </si>
  <si>
    <t>CMP5201</t>
  </si>
  <si>
    <t>CMP5202</t>
  </si>
  <si>
    <t>CMP5203</t>
  </si>
  <si>
    <t>CMP5204</t>
  </si>
  <si>
    <t>CMP5205</t>
  </si>
  <si>
    <t>CMP5206</t>
  </si>
  <si>
    <t>CMP5207</t>
  </si>
  <si>
    <t>CMP5208</t>
  </si>
  <si>
    <t>CMP5209</t>
  </si>
  <si>
    <t>CMP5210</t>
  </si>
  <si>
    <t>CMP5211</t>
  </si>
  <si>
    <t>CMP5212</t>
  </si>
  <si>
    <t>CMP5213</t>
  </si>
  <si>
    <t>CMP5214</t>
  </si>
  <si>
    <t>CMP5215</t>
  </si>
  <si>
    <t>CMP5216</t>
  </si>
  <si>
    <t>CMP5217</t>
  </si>
  <si>
    <t>CMP5218</t>
  </si>
  <si>
    <t>CMP5219</t>
  </si>
  <si>
    <t>CMP5220</t>
  </si>
  <si>
    <t>CMP5221</t>
  </si>
  <si>
    <t>CMP5222</t>
  </si>
  <si>
    <t>CMP5223</t>
  </si>
  <si>
    <t>CMP5224</t>
  </si>
  <si>
    <t>CMP5225</t>
  </si>
  <si>
    <t>CMP5226</t>
  </si>
  <si>
    <t>CMP5227</t>
  </si>
  <si>
    <t>CMP5228</t>
  </si>
  <si>
    <t>CMP5229</t>
  </si>
  <si>
    <t>CMP5230</t>
  </si>
  <si>
    <t>CMP5231</t>
  </si>
  <si>
    <t>CMP5232</t>
  </si>
  <si>
    <t>CMP5233</t>
  </si>
  <si>
    <t>CMP5234</t>
  </si>
  <si>
    <t>CMP5235</t>
  </si>
  <si>
    <t>CMP5236</t>
  </si>
  <si>
    <t>CMP5237</t>
  </si>
  <si>
    <t>CMP5238</t>
  </si>
  <si>
    <t>CMP5239</t>
  </si>
  <si>
    <t>CMP5240</t>
  </si>
  <si>
    <t>CMP5241</t>
  </si>
  <si>
    <t>CMP5242</t>
  </si>
  <si>
    <t>CMP5243</t>
  </si>
  <si>
    <t>CMP5244</t>
  </si>
  <si>
    <t>CMP5245</t>
  </si>
  <si>
    <t>CMP5246</t>
  </si>
  <si>
    <t>CMP5247</t>
  </si>
  <si>
    <t>CMP5248</t>
  </si>
  <si>
    <t>CMP5249</t>
  </si>
  <si>
    <t>Q2</t>
  </si>
  <si>
    <t>CMP5250</t>
  </si>
  <si>
    <t>CMP5251</t>
  </si>
  <si>
    <t>CMP5252</t>
  </si>
  <si>
    <t>CMP5253</t>
  </si>
  <si>
    <t>CMP5254</t>
  </si>
  <si>
    <t>CMP5255</t>
  </si>
  <si>
    <t>CMP5256</t>
  </si>
  <si>
    <t>CMP5257</t>
  </si>
  <si>
    <t>CMP5258</t>
  </si>
  <si>
    <t>CMP5259</t>
  </si>
  <si>
    <t>CMP5260</t>
  </si>
  <si>
    <t>CMP5261</t>
  </si>
  <si>
    <t>CMP5262</t>
  </si>
  <si>
    <t>CMP5263</t>
  </si>
  <si>
    <t>CMP5264</t>
  </si>
  <si>
    <t>CMP5265</t>
  </si>
  <si>
    <t>CMP5266</t>
  </si>
  <si>
    <t>CMP5267</t>
  </si>
  <si>
    <t>CMP5268</t>
  </si>
  <si>
    <t>CMP5269</t>
  </si>
  <si>
    <t>CMP5270</t>
  </si>
  <si>
    <t>CMP5271</t>
  </si>
  <si>
    <t>CMP5272</t>
  </si>
  <si>
    <t>CMP5273</t>
  </si>
  <si>
    <t>CMP5274</t>
  </si>
  <si>
    <t>CMP5275</t>
  </si>
  <si>
    <t>CMP5276</t>
  </si>
  <si>
    <t>CMP5277</t>
  </si>
  <si>
    <t>CMP5278</t>
  </si>
  <si>
    <t>CMP5279</t>
  </si>
  <si>
    <t>CMP5280</t>
  </si>
  <si>
    <t>CMP5281</t>
  </si>
  <si>
    <t>CMP5282</t>
  </si>
  <si>
    <t>CMP5283</t>
  </si>
  <si>
    <t>CMP5284</t>
  </si>
  <si>
    <t>CMP5285</t>
  </si>
  <si>
    <t>CMP5286</t>
  </si>
  <si>
    <t>CMP5287</t>
  </si>
  <si>
    <t>CMP5288</t>
  </si>
  <si>
    <t>CMP5289</t>
  </si>
  <si>
    <t>CMP5290</t>
  </si>
  <si>
    <t>CMP5291</t>
  </si>
  <si>
    <t>CMP5292</t>
  </si>
  <si>
    <t>CMP5293</t>
  </si>
  <si>
    <t>CMP5294</t>
  </si>
  <si>
    <t>CMP5295</t>
  </si>
  <si>
    <t>CMP5296</t>
  </si>
  <si>
    <t>CMP5297</t>
  </si>
  <si>
    <t>CMP5298</t>
  </si>
  <si>
    <t>CMP5299</t>
  </si>
  <si>
    <t>CMP5300</t>
  </si>
  <si>
    <t>CMP5301</t>
  </si>
  <si>
    <t>CMP5302</t>
  </si>
  <si>
    <t>CMP5303</t>
  </si>
  <si>
    <t>CMP5304</t>
  </si>
  <si>
    <t>CMP5305</t>
  </si>
  <si>
    <t>CMP5306</t>
  </si>
  <si>
    <t>CMP5307</t>
  </si>
  <si>
    <t>CMP5308</t>
  </si>
  <si>
    <t>CMP5309</t>
  </si>
  <si>
    <t>CMP5310</t>
  </si>
  <si>
    <t>CMP5311</t>
  </si>
  <si>
    <t>CMP5312</t>
  </si>
  <si>
    <t>CMP5313</t>
  </si>
  <si>
    <t>CMP5314</t>
  </si>
  <si>
    <t>CMP5315</t>
  </si>
  <si>
    <t>CMP5316</t>
  </si>
  <si>
    <t>CMP5317</t>
  </si>
  <si>
    <t>CMP5318</t>
  </si>
  <si>
    <t>CMP5319</t>
  </si>
  <si>
    <t>CMP5320</t>
  </si>
  <si>
    <t>CMP5321</t>
  </si>
  <si>
    <t>CMP5322</t>
  </si>
  <si>
    <t>CMP5323</t>
  </si>
  <si>
    <t>CMP5324</t>
  </si>
  <si>
    <t>CMP5325</t>
  </si>
  <si>
    <t>CMP5326</t>
  </si>
  <si>
    <t>CMP5327</t>
  </si>
  <si>
    <t>CMP5328</t>
  </si>
  <si>
    <t>CMP5329</t>
  </si>
  <si>
    <t>CMP5330</t>
  </si>
  <si>
    <t>CMP5331</t>
  </si>
  <si>
    <t>CMP5332</t>
  </si>
  <si>
    <t>CMP5333</t>
  </si>
  <si>
    <t>CMP5334</t>
  </si>
  <si>
    <t>CMP5335</t>
  </si>
  <si>
    <t>CMP5336</t>
  </si>
  <si>
    <t>CMP5337</t>
  </si>
  <si>
    <t>CMP5338</t>
  </si>
  <si>
    <t>CMP5339</t>
  </si>
  <si>
    <t>CMP5340</t>
  </si>
  <si>
    <t>CMP5341</t>
  </si>
  <si>
    <t>CMP5342</t>
  </si>
  <si>
    <t>CMP5343</t>
  </si>
  <si>
    <t>CMP5344</t>
  </si>
  <si>
    <t>CMP5345</t>
  </si>
  <si>
    <t>CMP5346</t>
  </si>
  <si>
    <t>CMP5347</t>
  </si>
  <si>
    <t>CMP5348</t>
  </si>
  <si>
    <t>CMP5349</t>
  </si>
  <si>
    <t>CMP5350</t>
  </si>
  <si>
    <t>CMP5351</t>
  </si>
  <si>
    <t>CMP5352</t>
  </si>
  <si>
    <t>CMP5353</t>
  </si>
  <si>
    <t>CMP5354</t>
  </si>
  <si>
    <t>CMP5355</t>
  </si>
  <si>
    <t>CMP5356</t>
  </si>
  <si>
    <t>CMP5357</t>
  </si>
  <si>
    <t>CMP5358</t>
  </si>
  <si>
    <t>CMP5359</t>
  </si>
  <si>
    <t>CMP5360</t>
  </si>
  <si>
    <t>CMP5361</t>
  </si>
  <si>
    <t>CMP5362</t>
  </si>
  <si>
    <t>CMP5363</t>
  </si>
  <si>
    <t>CMP5364</t>
  </si>
  <si>
    <t>CMP5365</t>
  </si>
  <si>
    <t>CMP5366</t>
  </si>
  <si>
    <t>CMP5367</t>
  </si>
  <si>
    <t>CMP5368</t>
  </si>
  <si>
    <t>CMP5369</t>
  </si>
  <si>
    <t>CMP5370</t>
  </si>
  <si>
    <t>CMP5371</t>
  </si>
  <si>
    <t>CMP5372</t>
  </si>
  <si>
    <t>CMP5373</t>
  </si>
  <si>
    <t>CMP5374</t>
  </si>
  <si>
    <t>CMP5375</t>
  </si>
  <si>
    <t>CMP5376</t>
  </si>
  <si>
    <t>CMP5377</t>
  </si>
  <si>
    <t>CMP5378</t>
  </si>
  <si>
    <t>CMP5379</t>
  </si>
  <si>
    <t>CMP5380</t>
  </si>
  <si>
    <t>CMP5381</t>
  </si>
  <si>
    <t>CMP5382</t>
  </si>
  <si>
    <t>CMP5383</t>
  </si>
  <si>
    <t>CMP5384</t>
  </si>
  <si>
    <t>CMP5385</t>
  </si>
  <si>
    <t>CMP5386</t>
  </si>
  <si>
    <t>CMP5387</t>
  </si>
  <si>
    <t>CMP5388</t>
  </si>
  <si>
    <t>CMP5389</t>
  </si>
  <si>
    <t>CMP5390</t>
  </si>
  <si>
    <t>CMP5391</t>
  </si>
  <si>
    <t>CMP5392</t>
  </si>
  <si>
    <t>CMP5393</t>
  </si>
  <si>
    <t>CMP5394</t>
  </si>
  <si>
    <t>CMP5395</t>
  </si>
  <si>
    <t>CMP5396</t>
  </si>
  <si>
    <t>CMP5397</t>
  </si>
  <si>
    <t>CMP5398</t>
  </si>
  <si>
    <t>CMP5399</t>
  </si>
  <si>
    <t>CMP5400</t>
  </si>
  <si>
    <t>CMP5401</t>
  </si>
  <si>
    <t>CMP5402</t>
  </si>
  <si>
    <t>CMP5403</t>
  </si>
  <si>
    <t>CMP5404</t>
  </si>
  <si>
    <t>CMP5405</t>
  </si>
  <si>
    <t>CMP5406</t>
  </si>
  <si>
    <t>CMP5407</t>
  </si>
  <si>
    <t>CMP5408</t>
  </si>
  <si>
    <t>CMP5409</t>
  </si>
  <si>
    <t>CMP5410</t>
  </si>
  <si>
    <t>CMP5411</t>
  </si>
  <si>
    <t>CMP5412</t>
  </si>
  <si>
    <t>CMP5413</t>
  </si>
  <si>
    <t>CMP5414</t>
  </si>
  <si>
    <t>CMP5415</t>
  </si>
  <si>
    <t>CMP5416</t>
  </si>
  <si>
    <t>CMP5417</t>
  </si>
  <si>
    <t>CMP5418</t>
  </si>
  <si>
    <t>CMP5419</t>
  </si>
  <si>
    <t>CMP5420</t>
  </si>
  <si>
    <t>CMP5421</t>
  </si>
  <si>
    <t>CMP5422</t>
  </si>
  <si>
    <t>CMP5423</t>
  </si>
  <si>
    <t>CMP5424</t>
  </si>
  <si>
    <t>CMP5425</t>
  </si>
  <si>
    <t>CMP5426</t>
  </si>
  <si>
    <t>CMP5427</t>
  </si>
  <si>
    <t>CMP5428</t>
  </si>
  <si>
    <t>CMP5429</t>
  </si>
  <si>
    <t>CMP5430</t>
  </si>
  <si>
    <t>CMP5431</t>
  </si>
  <si>
    <t>CMP5432</t>
  </si>
  <si>
    <t>CMP5433</t>
  </si>
  <si>
    <t>CMP5434</t>
  </si>
  <si>
    <t>CMP5435</t>
  </si>
  <si>
    <t>CMP5436</t>
  </si>
  <si>
    <t>CMP5437</t>
  </si>
  <si>
    <t>CMP5438</t>
  </si>
  <si>
    <t>CMP5439</t>
  </si>
  <si>
    <t>CMP5440</t>
  </si>
  <si>
    <t>CMP5441</t>
  </si>
  <si>
    <t>CMP5442</t>
  </si>
  <si>
    <t>CMP5443</t>
  </si>
  <si>
    <t>CMP5444</t>
  </si>
  <si>
    <t>CMP5445</t>
  </si>
  <si>
    <t>CMP5446</t>
  </si>
  <si>
    <t>CMP5447</t>
  </si>
  <si>
    <t>CMP5448</t>
  </si>
  <si>
    <t>CMP5449</t>
  </si>
  <si>
    <t>CMP5450</t>
  </si>
  <si>
    <t>CMP5451</t>
  </si>
  <si>
    <t>CMP5452</t>
  </si>
  <si>
    <t>CMP5453</t>
  </si>
  <si>
    <t>CMP5454</t>
  </si>
  <si>
    <t>CMP5455</t>
  </si>
  <si>
    <t>CMP5456</t>
  </si>
  <si>
    <t>CMP5457</t>
  </si>
  <si>
    <t>CMP5458</t>
  </si>
  <si>
    <t>CMP5459</t>
  </si>
  <si>
    <t>CMP5460</t>
  </si>
  <si>
    <t>CMP5461</t>
  </si>
  <si>
    <t>CMP5462</t>
  </si>
  <si>
    <t>CMP5463</t>
  </si>
  <si>
    <t>CMP5464</t>
  </si>
  <si>
    <t>CMP5465</t>
  </si>
  <si>
    <t>CMP5466</t>
  </si>
  <si>
    <t>CMP5467</t>
  </si>
  <si>
    <t>CMP5468</t>
  </si>
  <si>
    <t>CMP5469</t>
  </si>
  <si>
    <t>CMP5470</t>
  </si>
  <si>
    <t>CMP5471</t>
  </si>
  <si>
    <t>CMP5472</t>
  </si>
  <si>
    <t>CMP5473</t>
  </si>
  <si>
    <t>CMP5474</t>
  </si>
  <si>
    <t>CMP5475</t>
  </si>
  <si>
    <t>CMP5476</t>
  </si>
  <si>
    <t>CMP5477</t>
  </si>
  <si>
    <t>CMP5478</t>
  </si>
  <si>
    <t>CMP5479</t>
  </si>
  <si>
    <t>CMP5480</t>
  </si>
  <si>
    <t>CMP5481</t>
  </si>
  <si>
    <t>CMP5482</t>
  </si>
  <si>
    <t>CMP5483</t>
  </si>
  <si>
    <t>CMP5484</t>
  </si>
  <si>
    <t>CMP5485</t>
  </si>
  <si>
    <t>CMP5486</t>
  </si>
  <si>
    <t>CMP5487</t>
  </si>
  <si>
    <t>CMP5488</t>
  </si>
  <si>
    <t>CMP5489</t>
  </si>
  <si>
    <t>CMP5490</t>
  </si>
  <si>
    <t>CMP5491</t>
  </si>
  <si>
    <t>CMP5492</t>
  </si>
  <si>
    <t>CMP5493</t>
  </si>
  <si>
    <t>CMP5494</t>
  </si>
  <si>
    <t>CMP5495</t>
  </si>
  <si>
    <t>CMP5496</t>
  </si>
  <si>
    <t>CMP5497</t>
  </si>
  <si>
    <t>CMP5498</t>
  </si>
  <si>
    <t>CMP5499</t>
  </si>
  <si>
    <t>CMP5500</t>
  </si>
  <si>
    <t>CMP5501</t>
  </si>
  <si>
    <t>CMP5502</t>
  </si>
  <si>
    <t>CMP5503</t>
  </si>
  <si>
    <t>CMP5504</t>
  </si>
  <si>
    <t>CMP5505</t>
  </si>
  <si>
    <t>CMP5506</t>
  </si>
  <si>
    <t>CMP5507</t>
  </si>
  <si>
    <t>CMP5508</t>
  </si>
  <si>
    <t>CMP5509</t>
  </si>
  <si>
    <t>CMP5510</t>
  </si>
  <si>
    <t>CMP5511</t>
  </si>
  <si>
    <t>CMP5512</t>
  </si>
  <si>
    <t>CMP5513</t>
  </si>
  <si>
    <t>CMP5514</t>
  </si>
  <si>
    <t>CMP5515</t>
  </si>
  <si>
    <t>CMP5516</t>
  </si>
  <si>
    <t>CMP5517</t>
  </si>
  <si>
    <t>CMP5518</t>
  </si>
  <si>
    <t>CMP5519</t>
  </si>
  <si>
    <t>CMP5520</t>
  </si>
  <si>
    <t>CMP5521</t>
  </si>
  <si>
    <t>CMP5522</t>
  </si>
  <si>
    <t>CMP5523</t>
  </si>
  <si>
    <t>CMP5524</t>
  </si>
  <si>
    <t>CMP5525</t>
  </si>
  <si>
    <t>CMP5526</t>
  </si>
  <si>
    <t>CMP5527</t>
  </si>
  <si>
    <t>CMP5528</t>
  </si>
  <si>
    <t>CMP5529</t>
  </si>
  <si>
    <t>CMP5530</t>
  </si>
  <si>
    <t>CMP5531</t>
  </si>
  <si>
    <t>CMP5532</t>
  </si>
  <si>
    <t>CMP5533</t>
  </si>
  <si>
    <t>CMP5534</t>
  </si>
  <si>
    <t>CMP5535</t>
  </si>
  <si>
    <t>CMP5536</t>
  </si>
  <si>
    <t>CMP5537</t>
  </si>
  <si>
    <t>CMP5538</t>
  </si>
  <si>
    <t>CMP5539</t>
  </si>
  <si>
    <t>CMP5540</t>
  </si>
  <si>
    <t>CMP5541</t>
  </si>
  <si>
    <t>CMP5542</t>
  </si>
  <si>
    <t>CMP5543</t>
  </si>
  <si>
    <t>CMP5544</t>
  </si>
  <si>
    <t>CMP5545</t>
  </si>
  <si>
    <t>CMP5546</t>
  </si>
  <si>
    <t>CMP5547</t>
  </si>
  <si>
    <t>CMP5548</t>
  </si>
  <si>
    <t>CMP5549</t>
  </si>
  <si>
    <t>CMP5550</t>
  </si>
  <si>
    <t>CMP5551</t>
  </si>
  <si>
    <t>CMP5552</t>
  </si>
  <si>
    <t>CMP5553</t>
  </si>
  <si>
    <t>CMP5554</t>
  </si>
  <si>
    <t>CMP5555</t>
  </si>
  <si>
    <t>CMP5556</t>
  </si>
  <si>
    <t>CMP5557</t>
  </si>
  <si>
    <t>CMP5558</t>
  </si>
  <si>
    <t>CMP5559</t>
  </si>
  <si>
    <t>CMP5560</t>
  </si>
  <si>
    <t>CMP5561</t>
  </si>
  <si>
    <t>CMP5562</t>
  </si>
  <si>
    <t>CMP5563</t>
  </si>
  <si>
    <t>CMP5564</t>
  </si>
  <si>
    <t>CMP5565</t>
  </si>
  <si>
    <t>CMP5566</t>
  </si>
  <si>
    <t>CMP5567</t>
  </si>
  <si>
    <t>CMP5568</t>
  </si>
  <si>
    <t>CMP5569</t>
  </si>
  <si>
    <t>CMP5570</t>
  </si>
  <si>
    <t>CMP5571</t>
  </si>
  <si>
    <t>CMP5572</t>
  </si>
  <si>
    <t>CMP5573</t>
  </si>
  <si>
    <t>CMP5574</t>
  </si>
  <si>
    <t>CMP5575</t>
  </si>
  <si>
    <t>CMP5576</t>
  </si>
  <si>
    <t>CMP5577</t>
  </si>
  <si>
    <t>CMP5578</t>
  </si>
  <si>
    <t>CMP5579</t>
  </si>
  <si>
    <t>CMP5580</t>
  </si>
  <si>
    <t>CMP5581</t>
  </si>
  <si>
    <t>CMP5582</t>
  </si>
  <si>
    <t>CMP5583</t>
  </si>
  <si>
    <t>CMP5584</t>
  </si>
  <si>
    <t>CMP5585</t>
  </si>
  <si>
    <t>CMP5586</t>
  </si>
  <si>
    <t>CMP5587</t>
  </si>
  <si>
    <t>CMP5588</t>
  </si>
  <si>
    <t>CMP5589</t>
  </si>
  <si>
    <t>CMP5590</t>
  </si>
  <si>
    <t>CMP5591</t>
  </si>
  <si>
    <t>CMP5592</t>
  </si>
  <si>
    <t>CMP5593</t>
  </si>
  <si>
    <t>CMP5594</t>
  </si>
  <si>
    <t>CMP5595</t>
  </si>
  <si>
    <t>CMP5596</t>
  </si>
  <si>
    <t>CMP5597</t>
  </si>
  <si>
    <t>CMP5598</t>
  </si>
  <si>
    <t>CMP5599</t>
  </si>
  <si>
    <t>CMP5600</t>
  </si>
  <si>
    <t>CMP5601</t>
  </si>
  <si>
    <t>CMP5602</t>
  </si>
  <si>
    <t>CMP5603</t>
  </si>
  <si>
    <t>CMP5604</t>
  </si>
  <si>
    <t>CMP5605</t>
  </si>
  <si>
    <t>CMP5606</t>
  </si>
  <si>
    <t>CMP5607</t>
  </si>
  <si>
    <t>CMP5608</t>
  </si>
  <si>
    <t>CMP5609</t>
  </si>
  <si>
    <t>CMP5610</t>
  </si>
  <si>
    <t>CMP5611</t>
  </si>
  <si>
    <t>CMP5612</t>
  </si>
  <si>
    <t>CMP5613</t>
  </si>
  <si>
    <t>CMP5614</t>
  </si>
  <si>
    <t>CMP5615</t>
  </si>
  <si>
    <t>CMP5616</t>
  </si>
  <si>
    <t>CMP5617</t>
  </si>
  <si>
    <t>CMP5618</t>
  </si>
  <si>
    <t>CMP5619</t>
  </si>
  <si>
    <t>CMP5620</t>
  </si>
  <si>
    <t>CMP5621</t>
  </si>
  <si>
    <t>CMP5622</t>
  </si>
  <si>
    <t>CMP5623</t>
  </si>
  <si>
    <t>CMP5624</t>
  </si>
  <si>
    <t>CMP5625</t>
  </si>
  <si>
    <t>CMP5626</t>
  </si>
  <si>
    <t>CMP5627</t>
  </si>
  <si>
    <t>CMP5628</t>
  </si>
  <si>
    <t>CMP5629</t>
  </si>
  <si>
    <t>CMP5630</t>
  </si>
  <si>
    <t>CMP5631</t>
  </si>
  <si>
    <t>CMP5632</t>
  </si>
  <si>
    <t>CMP5633</t>
  </si>
  <si>
    <t>CMP5634</t>
  </si>
  <si>
    <t>CMP5635</t>
  </si>
  <si>
    <t>CMP5636</t>
  </si>
  <si>
    <t>CMP5637</t>
  </si>
  <si>
    <t>CMP5638</t>
  </si>
  <si>
    <t>CMP5639</t>
  </si>
  <si>
    <t>CMP5640</t>
  </si>
  <si>
    <t>CMP5641</t>
  </si>
  <si>
    <t>CMP5642</t>
  </si>
  <si>
    <t>CMP5643</t>
  </si>
  <si>
    <t>CMP5644</t>
  </si>
  <si>
    <t>CMP5645</t>
  </si>
  <si>
    <t>CMP5646</t>
  </si>
  <si>
    <t>CMP5647</t>
  </si>
  <si>
    <t>CMP5648</t>
  </si>
  <si>
    <t>CMP5649</t>
  </si>
  <si>
    <t>CMP5650</t>
  </si>
  <si>
    <t>CMP5651</t>
  </si>
  <si>
    <t>CMP5652</t>
  </si>
  <si>
    <t>CMP5653</t>
  </si>
  <si>
    <t>CMP5654</t>
  </si>
  <si>
    <t>CMP5655</t>
  </si>
  <si>
    <t>CMP5656</t>
  </si>
  <si>
    <t>CMP5657</t>
  </si>
  <si>
    <t>CMP5658</t>
  </si>
  <si>
    <t>CMP5659</t>
  </si>
  <si>
    <t>CMP5660</t>
  </si>
  <si>
    <t>CMP5661</t>
  </si>
  <si>
    <t>CMP5662</t>
  </si>
  <si>
    <t>CMP5663</t>
  </si>
  <si>
    <t>CMP5664</t>
  </si>
  <si>
    <t>CMP5665</t>
  </si>
  <si>
    <t>CMP5666</t>
  </si>
  <si>
    <t>CMP5667</t>
  </si>
  <si>
    <t>CMP5668</t>
  </si>
  <si>
    <t>CMP5669</t>
  </si>
  <si>
    <t>CMP5670</t>
  </si>
  <si>
    <t>CMP5671</t>
  </si>
  <si>
    <t>CMP5672</t>
  </si>
  <si>
    <t>CMP5673</t>
  </si>
  <si>
    <t>CMP5674</t>
  </si>
  <si>
    <t>Employee_Record_ID</t>
  </si>
  <si>
    <t>Employee_ID</t>
  </si>
  <si>
    <t>Role</t>
  </si>
  <si>
    <t>Tenure_Years</t>
  </si>
  <si>
    <t>Monthly_Salary_Rs</t>
  </si>
  <si>
    <t>Satisfaction_Score_1to5</t>
  </si>
  <si>
    <t>Avg_Weekly_Overtime_Hours</t>
  </si>
  <si>
    <t>Months_Since_Last_Promotion</t>
  </si>
  <si>
    <t>Exit_Flag</t>
  </si>
  <si>
    <t>Exit_Reason</t>
  </si>
  <si>
    <t>ER1001</t>
  </si>
  <si>
    <t>EMP001</t>
  </si>
  <si>
    <t>Customer Support</t>
  </si>
  <si>
    <t>ER1002</t>
  </si>
  <si>
    <t>EMP002</t>
  </si>
  <si>
    <t>Sales Executive</t>
  </si>
  <si>
    <t>Better opportunity</t>
  </si>
  <si>
    <t>ER1003</t>
  </si>
  <si>
    <t>EMP003</t>
  </si>
  <si>
    <t>ER1004</t>
  </si>
  <si>
    <t>EMP004</t>
  </si>
  <si>
    <t>Team Lead</t>
  </si>
  <si>
    <t>ER1005</t>
  </si>
  <si>
    <t>EMP005</t>
  </si>
  <si>
    <t>ER1006</t>
  </si>
  <si>
    <t>EMP006</t>
  </si>
  <si>
    <t>Compensation</t>
  </si>
  <si>
    <t>ER1007</t>
  </si>
  <si>
    <t>EMP007</t>
  </si>
  <si>
    <t>ER1008</t>
  </si>
  <si>
    <t>EMP008</t>
  </si>
  <si>
    <t>ER1009</t>
  </si>
  <si>
    <t>EMP009</t>
  </si>
  <si>
    <t>ER1010</t>
  </si>
  <si>
    <t>EMP010</t>
  </si>
  <si>
    <t>ER1011</t>
  </si>
  <si>
    <t>EMP011</t>
  </si>
  <si>
    <t>ER1012</t>
  </si>
  <si>
    <t>EMP012</t>
  </si>
  <si>
    <t>ER1013</t>
  </si>
  <si>
    <t>EMP013</t>
  </si>
  <si>
    <t>ER1014</t>
  </si>
  <si>
    <t>EMP014</t>
  </si>
  <si>
    <t>Warehouse Associate</t>
  </si>
  <si>
    <t>ER1015</t>
  </si>
  <si>
    <t>EMP015</t>
  </si>
  <si>
    <t>ER1016</t>
  </si>
  <si>
    <t>EMP016</t>
  </si>
  <si>
    <t>ER1017</t>
  </si>
  <si>
    <t>EMP017</t>
  </si>
  <si>
    <t>ER1018</t>
  </si>
  <si>
    <t>EMP018</t>
  </si>
  <si>
    <t>ER1019</t>
  </si>
  <si>
    <t>EMP019</t>
  </si>
  <si>
    <t>ER1020</t>
  </si>
  <si>
    <t>EMP020</t>
  </si>
  <si>
    <t>ER1021</t>
  </si>
  <si>
    <t>EMP021</t>
  </si>
  <si>
    <t>ER1022</t>
  </si>
  <si>
    <t>EMP022</t>
  </si>
  <si>
    <t>ER1023</t>
  </si>
  <si>
    <t>EMP023</t>
  </si>
  <si>
    <t>ER1024</t>
  </si>
  <si>
    <t>EMP024</t>
  </si>
  <si>
    <t>ER1025</t>
  </si>
  <si>
    <t>EMP025</t>
  </si>
  <si>
    <t>ER1026</t>
  </si>
  <si>
    <t>EMP026</t>
  </si>
  <si>
    <t>ER1027</t>
  </si>
  <si>
    <t>EMP027</t>
  </si>
  <si>
    <t>ER1028</t>
  </si>
  <si>
    <t>EMP028</t>
  </si>
  <si>
    <t>Career growth</t>
  </si>
  <si>
    <t>ER1029</t>
  </si>
  <si>
    <t>EMP029</t>
  </si>
  <si>
    <t>ER1030</t>
  </si>
  <si>
    <t>EMP030</t>
  </si>
  <si>
    <t>ER1031</t>
  </si>
  <si>
    <t>EMP031</t>
  </si>
  <si>
    <t>ER1032</t>
  </si>
  <si>
    <t>EMP032</t>
  </si>
  <si>
    <t>ER1033</t>
  </si>
  <si>
    <t>EMP033</t>
  </si>
  <si>
    <t>ER1034</t>
  </si>
  <si>
    <t>EMP034</t>
  </si>
  <si>
    <t>ER1035</t>
  </si>
  <si>
    <t>EMP035</t>
  </si>
  <si>
    <t>ER1036</t>
  </si>
  <si>
    <t>EMP036</t>
  </si>
  <si>
    <t>ER1037</t>
  </si>
  <si>
    <t>EMP037</t>
  </si>
  <si>
    <t>ER1038</t>
  </si>
  <si>
    <t>EMP038</t>
  </si>
  <si>
    <t>ER1039</t>
  </si>
  <si>
    <t>EMP039</t>
  </si>
  <si>
    <t>ER1040</t>
  </si>
  <si>
    <t>EMP040</t>
  </si>
  <si>
    <t>ER1041</t>
  </si>
  <si>
    <t>EMP041</t>
  </si>
  <si>
    <t>ER1042</t>
  </si>
  <si>
    <t>EMP042</t>
  </si>
  <si>
    <t>Store Associate</t>
  </si>
  <si>
    <t>Manager issues</t>
  </si>
  <si>
    <t>ER1043</t>
  </si>
  <si>
    <t>EMP043</t>
  </si>
  <si>
    <t>ER1044</t>
  </si>
  <si>
    <t>EMP044</t>
  </si>
  <si>
    <t>ER1045</t>
  </si>
  <si>
    <t>EMP045</t>
  </si>
  <si>
    <t>ER1046</t>
  </si>
  <si>
    <t>EMP046</t>
  </si>
  <si>
    <t>ER1047</t>
  </si>
  <si>
    <t>EMP047</t>
  </si>
  <si>
    <t>ER1048</t>
  </si>
  <si>
    <t>EMP048</t>
  </si>
  <si>
    <t>ER1049</t>
  </si>
  <si>
    <t>EMP049</t>
  </si>
  <si>
    <t>ER1050</t>
  </si>
  <si>
    <t>EMP050</t>
  </si>
  <si>
    <t>ER1051</t>
  </si>
  <si>
    <t>EMP051</t>
  </si>
  <si>
    <t>ER1052</t>
  </si>
  <si>
    <t>EMP052</t>
  </si>
  <si>
    <t>ER1053</t>
  </si>
  <si>
    <t>EMP053</t>
  </si>
  <si>
    <t>ER1054</t>
  </si>
  <si>
    <t>EMP054</t>
  </si>
  <si>
    <t>ER1055</t>
  </si>
  <si>
    <t>EMP055</t>
  </si>
  <si>
    <t>ER1056</t>
  </si>
  <si>
    <t>EMP056</t>
  </si>
  <si>
    <t>ER1057</t>
  </si>
  <si>
    <t>EMP057</t>
  </si>
  <si>
    <t>ER1058</t>
  </si>
  <si>
    <t>EMP058</t>
  </si>
  <si>
    <t>ER1059</t>
  </si>
  <si>
    <t>EMP059</t>
  </si>
  <si>
    <t>ER1060</t>
  </si>
  <si>
    <t>EMP060</t>
  </si>
  <si>
    <t>ER1061</t>
  </si>
  <si>
    <t>EMP061</t>
  </si>
  <si>
    <t>ER1062</t>
  </si>
  <si>
    <t>EMP062</t>
  </si>
  <si>
    <t>ER1063</t>
  </si>
  <si>
    <t>EMP063</t>
  </si>
  <si>
    <t>ER1064</t>
  </si>
  <si>
    <t>EMP064</t>
  </si>
  <si>
    <t>ER1065</t>
  </si>
  <si>
    <t>EMP065</t>
  </si>
  <si>
    <t>ER1066</t>
  </si>
  <si>
    <t>EMP066</t>
  </si>
  <si>
    <t>ER1067</t>
  </si>
  <si>
    <t>EMP067</t>
  </si>
  <si>
    <t>ER1068</t>
  </si>
  <si>
    <t>EMP068</t>
  </si>
  <si>
    <t>ER1069</t>
  </si>
  <si>
    <t>EMP069</t>
  </si>
  <si>
    <t>ER1070</t>
  </si>
  <si>
    <t>EMP070</t>
  </si>
  <si>
    <t>ER1071</t>
  </si>
  <si>
    <t>EMP071</t>
  </si>
  <si>
    <t>ER1072</t>
  </si>
  <si>
    <t>EMP072</t>
  </si>
  <si>
    <t>ER1073</t>
  </si>
  <si>
    <t>EMP073</t>
  </si>
  <si>
    <t>ER1074</t>
  </si>
  <si>
    <t>EMP074</t>
  </si>
  <si>
    <t>ER1075</t>
  </si>
  <si>
    <t>EMP075</t>
  </si>
  <si>
    <t>ER1076</t>
  </si>
  <si>
    <t>EMP076</t>
  </si>
  <si>
    <t>ER1077</t>
  </si>
  <si>
    <t>EMP077</t>
  </si>
  <si>
    <t>ER1078</t>
  </si>
  <si>
    <t>EMP078</t>
  </si>
  <si>
    <t>ER1079</t>
  </si>
  <si>
    <t>EMP079</t>
  </si>
  <si>
    <t>ER1080</t>
  </si>
  <si>
    <t>EMP080</t>
  </si>
  <si>
    <t>ER1081</t>
  </si>
  <si>
    <t>EMP081</t>
  </si>
  <si>
    <t>ER1082</t>
  </si>
  <si>
    <t>EMP082</t>
  </si>
  <si>
    <t>ER1083</t>
  </si>
  <si>
    <t>EMP083</t>
  </si>
  <si>
    <t>ER1084</t>
  </si>
  <si>
    <t>EMP084</t>
  </si>
  <si>
    <t>Workload</t>
  </si>
  <si>
    <t>ER1085</t>
  </si>
  <si>
    <t>EMP085</t>
  </si>
  <si>
    <t>ER1086</t>
  </si>
  <si>
    <t>EMP086</t>
  </si>
  <si>
    <t>ER1087</t>
  </si>
  <si>
    <t>EMP087</t>
  </si>
  <si>
    <t>Delivery Coordinator</t>
  </si>
  <si>
    <t>ER1088</t>
  </si>
  <si>
    <t>EMP088</t>
  </si>
  <si>
    <t>ER1089</t>
  </si>
  <si>
    <t>EMP089</t>
  </si>
  <si>
    <t>ER1090</t>
  </si>
  <si>
    <t>EMP090</t>
  </si>
  <si>
    <t>ER1091</t>
  </si>
  <si>
    <t>EMP091</t>
  </si>
  <si>
    <t>ER1092</t>
  </si>
  <si>
    <t>EMP092</t>
  </si>
  <si>
    <t>ER1093</t>
  </si>
  <si>
    <t>EMP093</t>
  </si>
  <si>
    <t>ER1094</t>
  </si>
  <si>
    <t>EMP094</t>
  </si>
  <si>
    <t>ER1095</t>
  </si>
  <si>
    <t>EMP095</t>
  </si>
  <si>
    <t>ER1096</t>
  </si>
  <si>
    <t>EMP096</t>
  </si>
  <si>
    <t>ER1097</t>
  </si>
  <si>
    <t>EMP097</t>
  </si>
  <si>
    <t>ER1098</t>
  </si>
  <si>
    <t>EMP098</t>
  </si>
  <si>
    <t>ER1099</t>
  </si>
  <si>
    <t>EMP099</t>
  </si>
  <si>
    <t>ER1100</t>
  </si>
  <si>
    <t>EMP100</t>
  </si>
  <si>
    <t>ER2001</t>
  </si>
  <si>
    <t>ER2002</t>
  </si>
  <si>
    <t>ER2003</t>
  </si>
  <si>
    <t>ER2004</t>
  </si>
  <si>
    <t>ER2005</t>
  </si>
  <si>
    <t>ER2006</t>
  </si>
  <si>
    <t>ER2007</t>
  </si>
  <si>
    <t>ER2008</t>
  </si>
  <si>
    <t>ER2009</t>
  </si>
  <si>
    <t>ER2010</t>
  </si>
  <si>
    <t>ER2011</t>
  </si>
  <si>
    <t>ER2012</t>
  </si>
  <si>
    <t>ER2013</t>
  </si>
  <si>
    <t>ER2014</t>
  </si>
  <si>
    <t>ER2015</t>
  </si>
  <si>
    <t>ER2016</t>
  </si>
  <si>
    <t>ER2017</t>
  </si>
  <si>
    <t>ER2018</t>
  </si>
  <si>
    <t>ER2019</t>
  </si>
  <si>
    <t>ER2020</t>
  </si>
  <si>
    <t>ER2021</t>
  </si>
  <si>
    <t>ER2022</t>
  </si>
  <si>
    <t>ER2023</t>
  </si>
  <si>
    <t>ER2024</t>
  </si>
  <si>
    <t>ER2025</t>
  </si>
  <si>
    <t>ER2026</t>
  </si>
  <si>
    <t>ER2027</t>
  </si>
  <si>
    <t>ER2028</t>
  </si>
  <si>
    <t>ER2029</t>
  </si>
  <si>
    <t>ER2030</t>
  </si>
  <si>
    <t>ER2031</t>
  </si>
  <si>
    <t>ER2032</t>
  </si>
  <si>
    <t>ER2033</t>
  </si>
  <si>
    <t>ER2034</t>
  </si>
  <si>
    <t>ER2035</t>
  </si>
  <si>
    <t>ER2036</t>
  </si>
  <si>
    <t>ER2037</t>
  </si>
  <si>
    <t>ER2038</t>
  </si>
  <si>
    <t>ER2039</t>
  </si>
  <si>
    <t>ER2040</t>
  </si>
  <si>
    <t>ER2041</t>
  </si>
  <si>
    <t>ER2042</t>
  </si>
  <si>
    <t>ER2043</t>
  </si>
  <si>
    <t>ER2044</t>
  </si>
  <si>
    <t>ER2045</t>
  </si>
  <si>
    <t>ER2046</t>
  </si>
  <si>
    <t>ER2047</t>
  </si>
  <si>
    <t>ER2048</t>
  </si>
  <si>
    <t>ER2049</t>
  </si>
  <si>
    <t>ER2050</t>
  </si>
  <si>
    <t>ER2051</t>
  </si>
  <si>
    <t>ER2052</t>
  </si>
  <si>
    <t>ER2053</t>
  </si>
  <si>
    <t>ER2054</t>
  </si>
  <si>
    <t>ER2055</t>
  </si>
  <si>
    <t>ER2056</t>
  </si>
  <si>
    <t>ER2057</t>
  </si>
  <si>
    <t>ER2058</t>
  </si>
  <si>
    <t>ER2059</t>
  </si>
  <si>
    <t>ER2060</t>
  </si>
  <si>
    <t>ER2061</t>
  </si>
  <si>
    <t>ER2062</t>
  </si>
  <si>
    <t>ER2063</t>
  </si>
  <si>
    <t>ER2064</t>
  </si>
  <si>
    <t>ER2065</t>
  </si>
  <si>
    <t>ER2066</t>
  </si>
  <si>
    <t>ER2067</t>
  </si>
  <si>
    <t>ER2068</t>
  </si>
  <si>
    <t>ER2069</t>
  </si>
  <si>
    <t>ER2070</t>
  </si>
  <si>
    <t>ER2071</t>
  </si>
  <si>
    <t>ER2072</t>
  </si>
  <si>
    <t>ER2073</t>
  </si>
  <si>
    <t>ER2074</t>
  </si>
  <si>
    <t>ER2075</t>
  </si>
  <si>
    <t>ER2076</t>
  </si>
  <si>
    <t>ER2077</t>
  </si>
  <si>
    <t>ER2078</t>
  </si>
  <si>
    <t>ER2079</t>
  </si>
  <si>
    <t>ER2080</t>
  </si>
  <si>
    <t>ER2081</t>
  </si>
  <si>
    <t>ER2082</t>
  </si>
  <si>
    <t>ER2083</t>
  </si>
  <si>
    <t>ER2084</t>
  </si>
  <si>
    <t>ER2085</t>
  </si>
  <si>
    <t>ER2086</t>
  </si>
  <si>
    <t>ER2087</t>
  </si>
  <si>
    <t>ER2088</t>
  </si>
  <si>
    <t>ER2089</t>
  </si>
  <si>
    <t>ER2090</t>
  </si>
  <si>
    <t>ER2091</t>
  </si>
  <si>
    <t>ER2092</t>
  </si>
  <si>
    <t>ER2093</t>
  </si>
  <si>
    <t>ER2094</t>
  </si>
  <si>
    <t>ER2095</t>
  </si>
  <si>
    <t>ER2096</t>
  </si>
  <si>
    <t>ER2097</t>
  </si>
  <si>
    <t>ER2098</t>
  </si>
  <si>
    <t>ER2099</t>
  </si>
  <si>
    <t>ER2100</t>
  </si>
  <si>
    <t>Snapshot_Date</t>
  </si>
  <si>
    <t>SKU</t>
  </si>
  <si>
    <t>Stock_On_Hand_Units</t>
  </si>
  <si>
    <t>Unit_Cost_Rs</t>
  </si>
  <si>
    <t>Inventory_Value_Rs</t>
  </si>
  <si>
    <t>Avg_Daily_COGS_Rs</t>
  </si>
  <si>
    <t>Days_On_Hand</t>
  </si>
  <si>
    <t>Forecast_Demand_30D_Units</t>
  </si>
  <si>
    <t>Reorder_Level_Units</t>
  </si>
  <si>
    <t>Inventory_Status</t>
  </si>
  <si>
    <t>SKU0001</t>
  </si>
  <si>
    <t>Normal</t>
  </si>
  <si>
    <t>SKU0002</t>
  </si>
  <si>
    <t>SKU0003</t>
  </si>
  <si>
    <t>SKU0004</t>
  </si>
  <si>
    <t>SKU0005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</si>
  <si>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</si>
  <si>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</si>
  <si>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</si>
  <si>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</si>
  <si>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</si>
  <si>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</si>
  <si>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</si>
  <si>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</si>
  <si>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</si>
  <si>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</si>
  <si>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</si>
  <si>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</si>
  <si>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</si>
  <si>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</si>
  <si>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</si>
  <si>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</si>
  <si>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</si>
  <si>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</si>
  <si>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</si>
  <si>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Excess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</si>
  <si>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</si>
  <si>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</si>
  <si>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</si>
  <si>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</si>
  <si>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</si>
  <si>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</si>
  <si>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</si>
  <si>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</si>
  <si>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</si>
  <si>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</si>
  <si>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</si>
  <si>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</si>
  <si>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</si>
  <si>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</si>
  <si>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</si>
  <si>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</si>
  <si>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</si>
  <si>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</si>
  <si>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</si>
  <si>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</si>
  <si>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</si>
  <si>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</si>
  <si>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</si>
  <si>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</si>
  <si>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</si>
  <si>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</si>
  <si>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</si>
  <si>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</si>
  <si>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</si>
  <si>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</si>
  <si>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</si>
  <si>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</si>
  <si>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</si>
  <si>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SKU0058</t>
  </si>
  <si>
    <t>SKU0059</t>
  </si>
  <si>
    <t>SKU0060</t>
  </si>
  <si>
    <t>SKU0061</t>
  </si>
  <si>
    <t>SKU0062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</si>
  <si>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</si>
  <si>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</si>
  <si>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</si>
  <si>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</si>
  <si>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</si>
  <si>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</si>
  <si>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</si>
  <si>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</si>
  <si>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</si>
  <si>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</si>
  <si>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</si>
  <si>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</si>
  <si>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</si>
  <si>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SKU0076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</si>
  <si>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</si>
  <si>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</si>
  <si>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</si>
  <si>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</si>
  <si>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</si>
  <si>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</si>
  <si>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</si>
  <si>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</si>
  <si>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SKU0085</t>
  </si>
  <si>
    <t>SKU0086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</si>
  <si>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</si>
  <si>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</si>
  <si>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</si>
  <si>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</si>
  <si>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</si>
  <si>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</si>
  <si>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</si>
  <si>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</si>
  <si>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</si>
  <si>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</si>
  <si>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</si>
  <si>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</si>
  <si>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</si>
  <si>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</si>
  <si>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</si>
  <si>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</si>
  <si>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</si>
  <si>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</si>
  <si>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</si>
  <si>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</si>
  <si>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</si>
  <si>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</si>
  <si>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</si>
  <si>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SKU0110</t>
  </si>
  <si>
    <t>SKU0111</t>
  </si>
  <si>
    <t>SKU0112</t>
  </si>
  <si>
    <t>SKU0113</t>
  </si>
  <si>
    <t>SKU0114</t>
  </si>
  <si>
    <t>SKU0115</t>
  </si>
  <si>
    <t>SKU0116</t>
  </si>
  <si>
    <t>SKU0117</t>
  </si>
  <si>
    <t>SKU0118</t>
  </si>
  <si>
    <t>SKU0119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</si>
  <si>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</si>
  <si>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</si>
  <si>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</si>
  <si>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</si>
  <si>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</si>
  <si>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</si>
  <si>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</si>
  <si>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</si>
  <si>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</si>
  <si>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</si>
  <si>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</si>
  <si>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</si>
  <si>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</si>
  <si>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SKU0133</t>
  </si>
  <si>
    <t>SKU0134</t>
  </si>
  <si>
    <t>SKU0135</t>
  </si>
  <si>
    <t>SKU0136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</si>
  <si>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</si>
  <si>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</si>
  <si>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</si>
  <si>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</si>
  <si>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</si>
  <si>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</si>
  <si>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</si>
  <si>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</si>
  <si>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</si>
  <si>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</si>
  <si>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</si>
  <si>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</si>
  <si>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</si>
  <si>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</si>
  <si>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</si>
  <si>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</si>
  <si>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</si>
  <si>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</si>
  <si>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</si>
  <si>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</si>
  <si>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</si>
  <si>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</si>
  <si>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</si>
  <si>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</si>
  <si>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</si>
  <si>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</si>
  <si>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</si>
  <si>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</si>
  <si>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</si>
  <si>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</si>
  <si>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</si>
  <si>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</si>
  <si>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</si>
  <si>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</si>
  <si>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</si>
  <si>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</si>
  <si>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</si>
  <si>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</si>
  <si>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</si>
  <si>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SKU0176</t>
  </si>
  <si>
    <t>SKU0177</t>
  </si>
  <si>
    <t>SKU0178</t>
  </si>
  <si>
    <t>SKU0179</t>
  </si>
  <si>
    <t>SKU0180</t>
  </si>
  <si>
    <t>UrbanKart Retail Pvt. Ltd. — Instructor Summary</t>
  </si>
  <si>
    <t>KPI</t>
  </si>
  <si>
    <t>Change</t>
  </si>
  <si>
    <t>Interpretation</t>
  </si>
  <si>
    <t>Sales Revenue</t>
  </si>
  <si>
    <t>Sales grew modestly.</t>
  </si>
  <si>
    <t>Net Profit</t>
  </si>
  <si>
    <t>Profit fell sharply despite higher sales.</t>
  </si>
  <si>
    <t>Customer Complaints</t>
  </si>
  <si>
    <t>Complaints rose substantially.</t>
  </si>
  <si>
    <t>Employee Turnover</t>
  </si>
  <si>
    <t>Turnover increased to a critical level.</t>
  </si>
  <si>
    <t>Inventory Days</t>
  </si>
  <si>
    <t>Inventory holding increased materially.</t>
  </si>
  <si>
    <t>Q2 Sales</t>
  </si>
  <si>
    <t>Q2 Profit</t>
  </si>
  <si>
    <t>Q2 Complaints</t>
  </si>
  <si>
    <t>Q2 Inventory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</si>
</sst>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\₹#,##0.00"/>
    <numFmt numFmtId="167" formatCode="0.0%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203864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166" fontId="0" fillId="0" borderId="0" xfId="0" applyNumberFormat="1"/>
    <xf numFmtId="0" fontId="3" fillId="8" borderId="0" xfId="0" applyFont="1" applyFill="1"/>
    <xf numFmtId="167" fontId="0" fillId="0" borderId="0" xfId="0" applyNumberFormat="1"/>
    <xf numFmtId="0" fontId="3" fillId="9" borderId="0" xfId="0" applyFont="1" applyFill="1"/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9" formatCode="m/d/yyyy"/>
    </dxf>
    <dxf>
      <numFmt numFmtId="165" formatCode="\₹#,##0"/>
    </dxf>
    <dxf>
      <numFmt numFmtId="165" formatCode="\₹#,##0"/>
    </dxf>
    <dxf>
      <numFmt numFmtId="165" formatCode="\₹#,##0"/>
    </dxf>
    <dxf>
      <numFmt numFmtId="165" formatCode="\₹#,##0"/>
    </dxf>
    <dxf>
      <numFmt numFmtId="165" formatCode="\₹#,##0"/>
    </dxf>
    <dxf>
      <numFmt numFmtId="165" formatCode="\₹#,##0"/>
    </dxf>
    <dxf>
      <numFmt numFmtId="165" formatCode="\₹#,##0"/>
    </dxf>
    <dxf>
      <numFmt numFmtId="165" formatCode="\₹#,##0"/>
    </dxf>
    <dxf>
      <numFmt numFmtId="164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Table" displayName="SalesOrdersTable" ref="A1:R1011" totalsRowShown="0">
  <autoFilter ref="A1:R1011" xr:uid="{00000000-000C-0000-FFFF-FFFF00000000}"/>
  <tableColumns count="18">
    <tableColumn id="1" xr3:uid="{00000000-0010-0000-0000-000001000000}" name="Order_ID"/>
    <tableColumn id="2" xr3:uid="{00000000-0010-0000-0000-000002000000}" name="Order_Date" dataDxfId="11"/>
    <tableColumn id="3" xr3:uid="{00000000-0010-0000-0000-000003000000}" name="Quarter"/>
    <tableColumn id="4" xr3:uid="{00000000-0010-0000-0000-000004000000}" name="Department"/>
    <tableColumn id="5" xr3:uid="{00000000-0010-0000-0000-000005000000}" name="Product_Category"/>
    <tableColumn id="6" xr3:uid="{00000000-0010-0000-0000-000006000000}" name="City"/>
    <tableColumn id="7" xr3:uid="{00000000-0010-0000-0000-000007000000}" name="Channel"/>
    <tableColumn id="8" xr3:uid="{00000000-0010-0000-0000-000008000000}" name="Units"/>
    <tableColumn id="9" xr3:uid="{00000000-0010-0000-0000-000009000000}" name="Gross_Sales_Rs" dataDxfId="10"/>
    <tableColumn id="10" xr3:uid="{00000000-0010-0000-0000-00000A000000}" name="Discount_Rs" dataDxfId="9"/>
    <tableColumn id="11" xr3:uid="{00000000-0010-0000-0000-00000B000000}" name="Net_Sales_Rs" dataDxfId="8"/>
    <tableColumn id="12" xr3:uid="{00000000-0010-0000-0000-00000C000000}" name="COGS_Rs" dataDxfId="7"/>
    <tableColumn id="13" xr3:uid="{00000000-0010-0000-0000-00000D000000}" name="Delivery_Cost_Rs" dataDxfId="6"/>
    <tableColumn id="14" xr3:uid="{00000000-0010-0000-0000-00000E000000}" name="Refund_Cost_Rs" dataDxfId="5"/>
    <tableColumn id="15" xr3:uid="{00000000-0010-0000-0000-00000F000000}" name="Other_Operating_Cost_Rs" dataDxfId="4"/>
    <tableColumn id="16" xr3:uid="{00000000-0010-0000-0000-000010000000}" name="Net_Profit_Rs" dataDxfId="3"/>
    <tableColumn id="17" xr3:uid="{00000000-0010-0000-0000-000011000000}" name="Delivery_Days"/>
    <tableColumn id="18" xr3:uid="{00000000-0010-0000-0000-000012000000}" name="Return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laintsTable" displayName="ComplaintsTable" ref="A1:J675" totalsRowShown="0">
  <autoFilter ref="A1:J1" xr:uid="{00000000-000C-0000-FFFF-FFFF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100-000001000000}" name="Complaint_ID"/>
    <tableColumn id="2" xr3:uid="{00000000-0010-0000-0100-000002000000}" name="Complaint_Date" dataDxfId="2"/>
    <tableColumn id="3" xr3:uid="{00000000-0010-0000-0100-000003000000}" name="Quarter (2026)"/>
    <tableColumn id="5" xr3:uid="{00000000-0010-0000-0100-000005000000}" name="Order_ID"/>
    <tableColumn id="6" xr3:uid="{00000000-0010-0000-0100-000006000000}" name="Department"/>
    <tableColumn id="7" xr3:uid="{00000000-0010-0000-0100-000007000000}" name="Complaint_Type"/>
    <tableColumn id="8" xr3:uid="{00000000-0010-0000-0100-000008000000}" name="Severity"/>
    <tableColumn id="9" xr3:uid="{00000000-0010-0000-0100-000009000000}" name="Resolution_Days" dataDxfId="1"/>
    <tableColumn id="10" xr3:uid="{00000000-0010-0000-0100-00000A000000}" name="Resolved_Flag"/>
    <tableColumn id="11" xr3:uid="{2D180AC2-4E70-49F7-8370-0CA1FF189B80}" name="Customer_Rating_After_Resolutio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oyeesTable" displayName="EmployeesTable" ref="A1:L201" totalsRowShown="0">
  <tableColumns count="12">
    <tableColumn id="1" xr3:uid="{00000000-0010-0000-0200-000001000000}" name="Employee_Record_ID"/>
    <tableColumn id="2" xr3:uid="{00000000-0010-0000-0200-000002000000}" name="Quarter"/>
    <tableColumn id="3" xr3:uid="{00000000-0010-0000-0200-000003000000}" name="Employee_ID"/>
    <tableColumn id="4" xr3:uid="{00000000-0010-0000-0200-000004000000}" name="Department"/>
    <tableColumn id="5" xr3:uid="{00000000-0010-0000-0200-000005000000}" name="Role"/>
    <tableColumn id="6" xr3:uid="{00000000-0010-0000-0200-000006000000}" name="Tenure_Years"/>
    <tableColumn id="7" xr3:uid="{00000000-0010-0000-0200-000007000000}" name="Monthly_Salary_Rs"/>
    <tableColumn id="8" xr3:uid="{00000000-0010-0000-0200-000008000000}" name="Satisfaction_Score_1to5"/>
    <tableColumn id="9" xr3:uid="{00000000-0010-0000-0200-000009000000}" name="Avg_Weekly_Overtime_Hours"/>
    <tableColumn id="10" xr3:uid="{00000000-0010-0000-0200-00000A000000}" name="Months_Since_Last_Promotion"/>
    <tableColumn id="11" xr3:uid="{00000000-0010-0000-0200-00000B000000}" name="Exit_Flag"/>
    <tableColumn id="12" xr3:uid="{00000000-0010-0000-0200-00000C000000}" name="Exit_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entoryTable" displayName="InventoryTable" ref="A1:M181" totalsRowShown="0">
  <tableColumns count="13">
    <tableColumn id="1" xr3:uid="{00000000-0010-0000-0300-000001000000}" name="Snapshot_Date"/>
    <tableColumn id="2" xr3:uid="{00000000-0010-0000-0300-000002000000}" name="Quarter"/>
    <tableColumn id="3" xr3:uid="{00000000-0010-0000-0300-000003000000}" name="SKU"/>
    <tableColumn id="4" xr3:uid="{00000000-0010-0000-0300-000004000000}" name="Department"/>
    <tableColumn id="5" xr3:uid="{00000000-0010-0000-0300-000005000000}" name="Product_Category"/>
    <tableColumn id="6" xr3:uid="{00000000-0010-0000-0300-000006000000}" name="Stock_On_Hand_Units"/>
    <tableColumn id="7" xr3:uid="{00000000-0010-0000-0300-000007000000}" name="Unit_Cost_Rs"/>
    <tableColumn id="8" xr3:uid="{00000000-0010-0000-0300-000008000000}" name="Inventory_Value_Rs"/>
    <tableColumn id="9" xr3:uid="{00000000-0010-0000-0300-000009000000}" name="Avg_Daily_COGS_Rs"/>
    <tableColumn id="10" xr3:uid="{00000000-0010-0000-0300-00000A000000}" name="Days_On_Hand"/>
    <tableColumn id="11" xr3:uid="{00000000-0010-0000-0300-00000B000000}" name="Forecast_Demand_30D_Units"/>
    <tableColumn id="12" xr3:uid="{00000000-0010-0000-0300-00000C000000}" name="Reorder_Level_Units"/>
    <tableColumn id="13" xr3:uid="{00000000-0010-0000-0300-00000D000000}" name="Invento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7" sqref="B7"/>
    </sheetView>
  </sheetViews>
  <sheetFormatPr defaultRowHeight="14.25"/>
  <cols>
    <col min="1" max="1" width="20" customWidth="1"/>
    <col min="2" max="2" width="68" customWidth="1"/>
  </cols>
  <sheetData>
    <row r="1" spans="1:2" ht="20.25">
      <c r="A1" s="13" t="s">
        <v>0</v>
      </c>
      <c r="B1" s="13"/>
    </row>
    <row r="2" spans="1:2" ht="15">
      <c r="A2" s="1" t="s">
        <v>1</v>
      </c>
      <c r="B2" s="2" t="s">
        <v>2</v>
      </c>
    </row>
    <row r="3" spans="1:2" ht="1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29.2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1"/>
  <sheetViews>
    <sheetView topLeftCell="F1" workbookViewId="0">
      <selection activeCell="I2" sqref="I2"/>
    </sheetView>
  </sheetViews>
  <sheetFormatPr defaultRowHeight="14.25"/>
  <cols>
    <col min="1" max="1" width="10.5" bestFit="1" customWidth="1"/>
    <col min="2" max="2" width="12.875" bestFit="1" customWidth="1"/>
    <col min="3" max="3" width="10.25" bestFit="1" customWidth="1"/>
    <col min="4" max="4" width="13.875" bestFit="1" customWidth="1"/>
    <col min="5" max="5" width="18.375" bestFit="1" customWidth="1"/>
    <col min="6" max="6" width="11.125" bestFit="1" customWidth="1"/>
    <col min="7" max="7" width="9.75" bestFit="1" customWidth="1"/>
    <col min="8" max="8" width="7.25" bestFit="1" customWidth="1"/>
    <col min="9" max="9" width="15.5" bestFit="1" customWidth="1"/>
    <col min="10" max="10" width="13.25" bestFit="1" customWidth="1"/>
    <col min="11" max="11" width="13.875" bestFit="1" customWidth="1"/>
    <col min="12" max="12" width="10.375" bestFit="1" customWidth="1"/>
    <col min="13" max="13" width="17.375" bestFit="1" customWidth="1"/>
    <col min="14" max="14" width="16.5" bestFit="1" customWidth="1"/>
    <col min="15" max="15" width="24.875" bestFit="1" customWidth="1"/>
    <col min="16" max="16" width="14.5" bestFit="1" customWidth="1"/>
    <col min="17" max="17" width="14.875" bestFit="1" customWidth="1"/>
    <col min="18" max="18" width="13" bestFit="1" customWidth="1"/>
  </cols>
  <sheetData>
    <row r="1" spans="1:18" ht="16.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</row>
    <row r="2" spans="1:18">
      <c r="A2" t="s">
        <v>35</v>
      </c>
      <c r="B2" s="4">
        <v>46186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6</v>
      </c>
      <c r="I2" s="5">
        <v>375987</v>
      </c>
      <c r="J2" s="5">
        <v>39824</v>
      </c>
      <c r="K2" s="5">
        <v>336163</v>
      </c>
      <c r="L2" s="5">
        <v>224103</v>
      </c>
      <c r="M2" s="5">
        <v>24546</v>
      </c>
      <c r="N2" s="5">
        <v>0</v>
      </c>
      <c r="O2" s="5">
        <v>56437</v>
      </c>
      <c r="P2" s="5">
        <v>31077</v>
      </c>
      <c r="Q2">
        <v>2</v>
      </c>
      <c r="R2" t="s">
        <v>41</v>
      </c>
    </row>
    <row r="3" spans="1:18">
      <c r="A3" t="s">
        <v>42</v>
      </c>
      <c r="B3" s="4">
        <v>46198</v>
      </c>
      <c r="C3" t="s">
        <v>36</v>
      </c>
      <c r="D3" t="s">
        <v>37</v>
      </c>
      <c r="E3" t="s">
        <v>38</v>
      </c>
      <c r="F3" t="s">
        <v>39</v>
      </c>
      <c r="G3" t="s">
        <v>43</v>
      </c>
      <c r="H3">
        <v>1</v>
      </c>
      <c r="I3" s="5">
        <v>166727</v>
      </c>
      <c r="J3" s="5">
        <v>11834</v>
      </c>
      <c r="K3" s="5">
        <v>154893</v>
      </c>
      <c r="L3" s="5">
        <v>94242</v>
      </c>
      <c r="M3" s="5">
        <v>10953</v>
      </c>
      <c r="N3" s="5">
        <v>0</v>
      </c>
      <c r="O3" s="5">
        <v>20030</v>
      </c>
      <c r="P3" s="5">
        <v>29668</v>
      </c>
      <c r="Q3">
        <v>4</v>
      </c>
      <c r="R3" t="s">
        <v>41</v>
      </c>
    </row>
    <row r="4" spans="1:18">
      <c r="A4" t="s">
        <v>44</v>
      </c>
      <c r="B4" s="4">
        <v>46151</v>
      </c>
      <c r="C4" t="s">
        <v>36</v>
      </c>
      <c r="D4" t="s">
        <v>37</v>
      </c>
      <c r="E4" t="s">
        <v>45</v>
      </c>
      <c r="F4" t="s">
        <v>46</v>
      </c>
      <c r="G4" t="s">
        <v>43</v>
      </c>
      <c r="H4">
        <v>4</v>
      </c>
      <c r="I4" s="5">
        <v>280484</v>
      </c>
      <c r="J4" s="5">
        <v>51829</v>
      </c>
      <c r="K4" s="5">
        <v>228655</v>
      </c>
      <c r="L4" s="5">
        <v>140686</v>
      </c>
      <c r="M4" s="5">
        <v>16539</v>
      </c>
      <c r="N4" s="5">
        <v>0</v>
      </c>
      <c r="O4" s="5">
        <v>33903</v>
      </c>
      <c r="P4" s="5">
        <v>37527</v>
      </c>
      <c r="Q4">
        <v>2</v>
      </c>
      <c r="R4" t="s">
        <v>41</v>
      </c>
    </row>
    <row r="5" spans="1:18">
      <c r="A5" t="s">
        <v>47</v>
      </c>
      <c r="B5" s="4">
        <v>46135</v>
      </c>
      <c r="C5" t="s">
        <v>36</v>
      </c>
      <c r="D5" t="s">
        <v>37</v>
      </c>
      <c r="E5" t="s">
        <v>45</v>
      </c>
      <c r="F5" t="s">
        <v>46</v>
      </c>
      <c r="G5" t="s">
        <v>40</v>
      </c>
      <c r="H5">
        <v>3</v>
      </c>
      <c r="I5" s="5">
        <v>235897</v>
      </c>
      <c r="J5" s="5">
        <v>22530</v>
      </c>
      <c r="K5" s="5">
        <v>213367</v>
      </c>
      <c r="L5" s="5">
        <v>138223</v>
      </c>
      <c r="M5" s="5">
        <v>17166</v>
      </c>
      <c r="N5" s="5">
        <v>0</v>
      </c>
      <c r="O5" s="5">
        <v>42847</v>
      </c>
      <c r="P5" s="5">
        <v>15131</v>
      </c>
      <c r="Q5">
        <v>2</v>
      </c>
      <c r="R5" t="s">
        <v>41</v>
      </c>
    </row>
    <row r="6" spans="1:18">
      <c r="A6" t="s">
        <v>48</v>
      </c>
      <c r="B6" s="4">
        <v>46169</v>
      </c>
      <c r="C6" t="s">
        <v>36</v>
      </c>
      <c r="D6" t="s">
        <v>37</v>
      </c>
      <c r="E6" t="s">
        <v>38</v>
      </c>
      <c r="F6" t="s">
        <v>49</v>
      </c>
      <c r="G6" t="s">
        <v>43</v>
      </c>
      <c r="H6">
        <v>6</v>
      </c>
      <c r="I6" s="5">
        <v>405990</v>
      </c>
      <c r="J6" s="5">
        <v>41196</v>
      </c>
      <c r="K6" s="5">
        <v>364794</v>
      </c>
      <c r="L6" s="5">
        <v>250390</v>
      </c>
      <c r="M6" s="5">
        <v>29473</v>
      </c>
      <c r="N6" s="5">
        <v>0</v>
      </c>
      <c r="O6" s="5">
        <v>62108</v>
      </c>
      <c r="P6" s="5">
        <v>22823</v>
      </c>
      <c r="Q6">
        <v>5</v>
      </c>
      <c r="R6" t="s">
        <v>41</v>
      </c>
    </row>
    <row r="7" spans="1:18">
      <c r="A7" t="s">
        <v>50</v>
      </c>
      <c r="B7" s="4">
        <v>46143</v>
      </c>
      <c r="C7" t="s">
        <v>36</v>
      </c>
      <c r="D7" t="s">
        <v>37</v>
      </c>
      <c r="E7" t="s">
        <v>45</v>
      </c>
      <c r="F7" t="s">
        <v>51</v>
      </c>
      <c r="G7" t="s">
        <v>40</v>
      </c>
      <c r="H7">
        <v>2</v>
      </c>
      <c r="I7" s="5">
        <v>393213</v>
      </c>
      <c r="J7" s="5">
        <v>46054</v>
      </c>
      <c r="K7" s="5">
        <v>347159</v>
      </c>
      <c r="L7" s="5">
        <v>236757</v>
      </c>
      <c r="M7" s="5">
        <v>27808</v>
      </c>
      <c r="N7" s="5">
        <v>0</v>
      </c>
      <c r="O7" s="5">
        <v>61372</v>
      </c>
      <c r="P7" s="5">
        <v>21222</v>
      </c>
      <c r="Q7">
        <v>4</v>
      </c>
      <c r="R7" t="s">
        <v>41</v>
      </c>
    </row>
    <row r="8" spans="1:18">
      <c r="A8" t="s">
        <v>52</v>
      </c>
      <c r="B8" s="4">
        <v>46193</v>
      </c>
      <c r="C8" t="s">
        <v>36</v>
      </c>
      <c r="D8" t="s">
        <v>37</v>
      </c>
      <c r="E8" t="s">
        <v>38</v>
      </c>
      <c r="F8" t="s">
        <v>46</v>
      </c>
      <c r="G8" t="s">
        <v>43</v>
      </c>
      <c r="H8">
        <v>4</v>
      </c>
      <c r="I8" s="5">
        <v>475341</v>
      </c>
      <c r="J8" s="5">
        <v>64609</v>
      </c>
      <c r="K8" s="5">
        <v>410732</v>
      </c>
      <c r="L8" s="5">
        <v>271976</v>
      </c>
      <c r="M8" s="5">
        <v>35368</v>
      </c>
      <c r="N8" s="5">
        <v>17527</v>
      </c>
      <c r="O8" s="5">
        <v>51431</v>
      </c>
      <c r="P8" s="5">
        <v>34430</v>
      </c>
      <c r="Q8">
        <v>3</v>
      </c>
      <c r="R8" t="s">
        <v>53</v>
      </c>
    </row>
    <row r="9" spans="1:18">
      <c r="A9" t="s">
        <v>54</v>
      </c>
      <c r="B9" s="4">
        <v>46126</v>
      </c>
      <c r="C9" t="s">
        <v>36</v>
      </c>
      <c r="D9" t="s">
        <v>37</v>
      </c>
      <c r="E9" t="s">
        <v>55</v>
      </c>
      <c r="F9" t="s">
        <v>51</v>
      </c>
      <c r="G9" t="s">
        <v>40</v>
      </c>
      <c r="H9">
        <v>6</v>
      </c>
      <c r="I9" s="5">
        <v>194989</v>
      </c>
      <c r="J9" s="5">
        <v>21826</v>
      </c>
      <c r="K9" s="5">
        <v>173163</v>
      </c>
      <c r="L9" s="5">
        <v>104955</v>
      </c>
      <c r="M9" s="5">
        <v>13886</v>
      </c>
      <c r="N9" s="5">
        <v>0</v>
      </c>
      <c r="O9" s="5">
        <v>35392</v>
      </c>
      <c r="P9" s="5">
        <v>18930</v>
      </c>
      <c r="Q9">
        <v>5</v>
      </c>
      <c r="R9" t="s">
        <v>41</v>
      </c>
    </row>
    <row r="10" spans="1:18">
      <c r="A10" t="s">
        <v>56</v>
      </c>
      <c r="B10" s="4">
        <v>46172</v>
      </c>
      <c r="C10" t="s">
        <v>36</v>
      </c>
      <c r="D10" t="s">
        <v>37</v>
      </c>
      <c r="E10" t="s">
        <v>45</v>
      </c>
      <c r="F10" t="s">
        <v>46</v>
      </c>
      <c r="G10" t="s">
        <v>43</v>
      </c>
      <c r="H10">
        <v>5</v>
      </c>
      <c r="I10" s="5">
        <v>301824</v>
      </c>
      <c r="J10" s="5">
        <v>29831</v>
      </c>
      <c r="K10" s="5">
        <v>271993</v>
      </c>
      <c r="L10" s="5">
        <v>178796</v>
      </c>
      <c r="M10" s="5">
        <v>23909</v>
      </c>
      <c r="N10" s="5">
        <v>0</v>
      </c>
      <c r="O10" s="5">
        <v>51836</v>
      </c>
      <c r="P10" s="5">
        <v>17452</v>
      </c>
      <c r="Q10">
        <v>3</v>
      </c>
      <c r="R10" t="s">
        <v>41</v>
      </c>
    </row>
    <row r="11" spans="1:18">
      <c r="A11" t="s">
        <v>57</v>
      </c>
      <c r="B11" s="4">
        <v>46194</v>
      </c>
      <c r="C11" t="s">
        <v>36</v>
      </c>
      <c r="D11" t="s">
        <v>37</v>
      </c>
      <c r="E11" t="s">
        <v>45</v>
      </c>
      <c r="F11" t="s">
        <v>49</v>
      </c>
      <c r="G11" t="s">
        <v>43</v>
      </c>
      <c r="H11">
        <v>6</v>
      </c>
      <c r="I11" s="5">
        <v>171871</v>
      </c>
      <c r="J11" s="5">
        <v>15566</v>
      </c>
      <c r="K11" s="5">
        <v>156305</v>
      </c>
      <c r="L11" s="5">
        <v>100236</v>
      </c>
      <c r="M11" s="5">
        <v>10321</v>
      </c>
      <c r="N11" s="5">
        <v>0</v>
      </c>
      <c r="O11" s="5">
        <v>21762</v>
      </c>
      <c r="P11" s="5">
        <v>23986</v>
      </c>
      <c r="Q11">
        <v>3</v>
      </c>
      <c r="R11" t="s">
        <v>41</v>
      </c>
    </row>
    <row r="12" spans="1:18">
      <c r="A12" t="s">
        <v>58</v>
      </c>
      <c r="B12" s="4">
        <v>46182</v>
      </c>
      <c r="C12" t="s">
        <v>36</v>
      </c>
      <c r="D12" t="s">
        <v>37</v>
      </c>
      <c r="E12" t="s">
        <v>59</v>
      </c>
      <c r="F12" t="s">
        <v>51</v>
      </c>
      <c r="G12" t="s">
        <v>40</v>
      </c>
      <c r="H12">
        <v>2</v>
      </c>
      <c r="I12" s="5">
        <v>238905</v>
      </c>
      <c r="J12" s="5">
        <v>26887</v>
      </c>
      <c r="K12" s="5">
        <v>212018</v>
      </c>
      <c r="L12" s="5">
        <v>140440</v>
      </c>
      <c r="M12" s="5">
        <v>13092</v>
      </c>
      <c r="N12" s="5">
        <v>0</v>
      </c>
      <c r="O12" s="5">
        <v>35176</v>
      </c>
      <c r="P12" s="5">
        <v>23310</v>
      </c>
      <c r="Q12">
        <v>5</v>
      </c>
      <c r="R12" t="s">
        <v>41</v>
      </c>
    </row>
    <row r="13" spans="1:18">
      <c r="A13" t="s">
        <v>60</v>
      </c>
      <c r="B13" s="4">
        <v>46172</v>
      </c>
      <c r="C13" t="s">
        <v>36</v>
      </c>
      <c r="D13" t="s">
        <v>37</v>
      </c>
      <c r="E13" t="s">
        <v>55</v>
      </c>
      <c r="F13" t="s">
        <v>61</v>
      </c>
      <c r="G13" t="s">
        <v>40</v>
      </c>
      <c r="H13">
        <v>4</v>
      </c>
      <c r="I13" s="5">
        <v>327760</v>
      </c>
      <c r="J13" s="5">
        <v>31152</v>
      </c>
      <c r="K13" s="5">
        <v>296608</v>
      </c>
      <c r="L13" s="5">
        <v>193640</v>
      </c>
      <c r="M13" s="5">
        <v>21210</v>
      </c>
      <c r="N13" s="5">
        <v>0</v>
      </c>
      <c r="O13" s="5">
        <v>62073</v>
      </c>
      <c r="P13" s="5">
        <v>19685</v>
      </c>
      <c r="Q13">
        <v>4</v>
      </c>
      <c r="R13" t="s">
        <v>41</v>
      </c>
    </row>
    <row r="14" spans="1:18">
      <c r="A14" t="s">
        <v>62</v>
      </c>
      <c r="B14" s="4">
        <v>46186</v>
      </c>
      <c r="C14" t="s">
        <v>36</v>
      </c>
      <c r="D14" t="s">
        <v>37</v>
      </c>
      <c r="E14" t="s">
        <v>55</v>
      </c>
      <c r="F14" t="s">
        <v>46</v>
      </c>
      <c r="G14" t="s">
        <v>40</v>
      </c>
      <c r="H14">
        <v>3</v>
      </c>
      <c r="I14" s="5">
        <v>165948</v>
      </c>
      <c r="J14" s="5">
        <v>10605</v>
      </c>
      <c r="K14" s="5">
        <v>155343</v>
      </c>
      <c r="L14" s="5">
        <v>104353</v>
      </c>
      <c r="M14" s="5">
        <v>8289</v>
      </c>
      <c r="N14" s="5">
        <v>0</v>
      </c>
      <c r="O14" s="5">
        <v>23742</v>
      </c>
      <c r="P14" s="5">
        <v>18959</v>
      </c>
      <c r="Q14">
        <v>5</v>
      </c>
      <c r="R14" t="s">
        <v>41</v>
      </c>
    </row>
    <row r="15" spans="1:18">
      <c r="A15" t="s">
        <v>63</v>
      </c>
      <c r="B15" s="4">
        <v>46182</v>
      </c>
      <c r="C15" t="s">
        <v>36</v>
      </c>
      <c r="D15" t="s">
        <v>37</v>
      </c>
      <c r="E15" t="s">
        <v>38</v>
      </c>
      <c r="F15" t="s">
        <v>46</v>
      </c>
      <c r="G15" t="s">
        <v>40</v>
      </c>
      <c r="H15">
        <v>3</v>
      </c>
      <c r="I15" s="5">
        <v>228967</v>
      </c>
      <c r="J15" s="5">
        <v>22790</v>
      </c>
      <c r="K15" s="5">
        <v>206177</v>
      </c>
      <c r="L15" s="5">
        <v>129386</v>
      </c>
      <c r="M15" s="5">
        <v>15900</v>
      </c>
      <c r="N15" s="5">
        <v>0</v>
      </c>
      <c r="O15" s="5">
        <v>24904</v>
      </c>
      <c r="P15" s="5">
        <v>35987</v>
      </c>
      <c r="Q15">
        <v>5</v>
      </c>
      <c r="R15" t="s">
        <v>41</v>
      </c>
    </row>
    <row r="16" spans="1:18">
      <c r="A16" t="s">
        <v>64</v>
      </c>
      <c r="B16" s="4">
        <v>46134</v>
      </c>
      <c r="C16" t="s">
        <v>36</v>
      </c>
      <c r="D16" t="s">
        <v>37</v>
      </c>
      <c r="E16" t="s">
        <v>55</v>
      </c>
      <c r="F16" t="s">
        <v>51</v>
      </c>
      <c r="G16" t="s">
        <v>40</v>
      </c>
      <c r="H16">
        <v>4</v>
      </c>
      <c r="I16" s="5">
        <v>377860</v>
      </c>
      <c r="J16" s="5">
        <v>38612</v>
      </c>
      <c r="K16" s="5">
        <v>339248</v>
      </c>
      <c r="L16" s="5">
        <v>224014</v>
      </c>
      <c r="M16" s="5">
        <v>27492</v>
      </c>
      <c r="N16" s="5">
        <v>0</v>
      </c>
      <c r="O16" s="5">
        <v>63895</v>
      </c>
      <c r="P16" s="5">
        <v>23847</v>
      </c>
      <c r="Q16">
        <v>3</v>
      </c>
      <c r="R16" t="s">
        <v>41</v>
      </c>
    </row>
    <row r="17" spans="1:18">
      <c r="A17" t="s">
        <v>65</v>
      </c>
      <c r="B17" s="4">
        <v>46136</v>
      </c>
      <c r="C17" t="s">
        <v>36</v>
      </c>
      <c r="D17" t="s">
        <v>37</v>
      </c>
      <c r="E17" t="s">
        <v>59</v>
      </c>
      <c r="F17" t="s">
        <v>39</v>
      </c>
      <c r="G17" t="s">
        <v>43</v>
      </c>
      <c r="H17">
        <v>3</v>
      </c>
      <c r="I17" s="5">
        <v>330336</v>
      </c>
      <c r="J17" s="5">
        <v>22049</v>
      </c>
      <c r="K17" s="5">
        <v>308287</v>
      </c>
      <c r="L17" s="5">
        <v>188298</v>
      </c>
      <c r="M17" s="5">
        <v>21127</v>
      </c>
      <c r="N17" s="5">
        <v>0</v>
      </c>
      <c r="O17" s="5">
        <v>64441</v>
      </c>
      <c r="P17" s="5">
        <v>34421</v>
      </c>
      <c r="Q17">
        <v>2</v>
      </c>
      <c r="R17" t="s">
        <v>41</v>
      </c>
    </row>
    <row r="18" spans="1:18">
      <c r="A18" t="s">
        <v>66</v>
      </c>
      <c r="B18" s="4">
        <v>46166</v>
      </c>
      <c r="C18" t="s">
        <v>36</v>
      </c>
      <c r="D18" t="s">
        <v>37</v>
      </c>
      <c r="E18" t="s">
        <v>45</v>
      </c>
      <c r="F18" t="s">
        <v>61</v>
      </c>
      <c r="G18" t="s">
        <v>43</v>
      </c>
      <c r="H18">
        <v>1</v>
      </c>
      <c r="I18" s="5">
        <v>240830</v>
      </c>
      <c r="J18" s="5">
        <v>28280</v>
      </c>
      <c r="K18" s="5">
        <v>212550</v>
      </c>
      <c r="L18" s="5">
        <v>139217</v>
      </c>
      <c r="M18" s="5">
        <v>13980</v>
      </c>
      <c r="N18" s="5">
        <v>0</v>
      </c>
      <c r="O18" s="5">
        <v>32796</v>
      </c>
      <c r="P18" s="5">
        <v>26557</v>
      </c>
      <c r="Q18">
        <v>4</v>
      </c>
      <c r="R18" t="s">
        <v>41</v>
      </c>
    </row>
    <row r="19" spans="1:18">
      <c r="A19" t="s">
        <v>67</v>
      </c>
      <c r="B19" s="4">
        <v>46118</v>
      </c>
      <c r="C19" t="s">
        <v>36</v>
      </c>
      <c r="D19" t="s">
        <v>37</v>
      </c>
      <c r="E19" t="s">
        <v>59</v>
      </c>
      <c r="F19" t="s">
        <v>51</v>
      </c>
      <c r="G19" t="s">
        <v>40</v>
      </c>
      <c r="H19">
        <v>1</v>
      </c>
      <c r="I19" s="5">
        <v>361055</v>
      </c>
      <c r="J19" s="5">
        <v>39691</v>
      </c>
      <c r="K19" s="5">
        <v>321364</v>
      </c>
      <c r="L19" s="5">
        <v>235399</v>
      </c>
      <c r="M19" s="5">
        <v>21203</v>
      </c>
      <c r="N19" s="5">
        <v>20995</v>
      </c>
      <c r="O19" s="5">
        <v>29845</v>
      </c>
      <c r="P19" s="5">
        <v>13922</v>
      </c>
      <c r="Q19">
        <v>3</v>
      </c>
      <c r="R19" t="s">
        <v>53</v>
      </c>
    </row>
    <row r="20" spans="1:18">
      <c r="A20" t="s">
        <v>68</v>
      </c>
      <c r="B20" s="4">
        <v>46172</v>
      </c>
      <c r="C20" t="s">
        <v>36</v>
      </c>
      <c r="D20" t="s">
        <v>37</v>
      </c>
      <c r="E20" t="s">
        <v>45</v>
      </c>
      <c r="F20" t="s">
        <v>39</v>
      </c>
      <c r="G20" t="s">
        <v>40</v>
      </c>
      <c r="H20">
        <v>5</v>
      </c>
      <c r="I20" s="5">
        <v>425140</v>
      </c>
      <c r="J20" s="5">
        <v>38821</v>
      </c>
      <c r="K20" s="5">
        <v>386319</v>
      </c>
      <c r="L20" s="5">
        <v>251768</v>
      </c>
      <c r="M20" s="5">
        <v>22498</v>
      </c>
      <c r="N20" s="5">
        <v>0</v>
      </c>
      <c r="O20" s="5">
        <v>74144</v>
      </c>
      <c r="P20" s="5">
        <v>37909</v>
      </c>
      <c r="Q20">
        <v>2</v>
      </c>
      <c r="R20" t="s">
        <v>41</v>
      </c>
    </row>
    <row r="21" spans="1:18">
      <c r="A21" t="s">
        <v>69</v>
      </c>
      <c r="B21" s="4">
        <v>46126</v>
      </c>
      <c r="C21" t="s">
        <v>36</v>
      </c>
      <c r="D21" t="s">
        <v>37</v>
      </c>
      <c r="E21" t="s">
        <v>59</v>
      </c>
      <c r="F21" t="s">
        <v>39</v>
      </c>
      <c r="G21" t="s">
        <v>43</v>
      </c>
      <c r="H21">
        <v>4</v>
      </c>
      <c r="I21" s="5">
        <v>159750</v>
      </c>
      <c r="J21" s="5">
        <v>10319</v>
      </c>
      <c r="K21" s="5">
        <v>149431</v>
      </c>
      <c r="L21" s="5">
        <v>82522</v>
      </c>
      <c r="M21" s="5">
        <v>11090</v>
      </c>
      <c r="N21" s="5">
        <v>0</v>
      </c>
      <c r="O21" s="5">
        <v>25933</v>
      </c>
      <c r="P21" s="5">
        <v>29886</v>
      </c>
      <c r="Q21">
        <v>2</v>
      </c>
      <c r="R21" t="s">
        <v>41</v>
      </c>
    </row>
    <row r="22" spans="1:18">
      <c r="A22" t="s">
        <v>70</v>
      </c>
      <c r="B22" s="4">
        <v>46202</v>
      </c>
      <c r="C22" t="s">
        <v>36</v>
      </c>
      <c r="D22" t="s">
        <v>37</v>
      </c>
      <c r="E22" t="s">
        <v>45</v>
      </c>
      <c r="F22" t="s">
        <v>49</v>
      </c>
      <c r="G22" t="s">
        <v>40</v>
      </c>
      <c r="H22">
        <v>5</v>
      </c>
      <c r="I22" s="5">
        <v>443695</v>
      </c>
      <c r="J22" s="5">
        <v>58442</v>
      </c>
      <c r="K22" s="5">
        <v>385253</v>
      </c>
      <c r="L22" s="5">
        <v>255265</v>
      </c>
      <c r="M22" s="5">
        <v>32451</v>
      </c>
      <c r="N22" s="5">
        <v>0</v>
      </c>
      <c r="O22" s="5">
        <v>60394</v>
      </c>
      <c r="P22" s="5">
        <v>37143</v>
      </c>
      <c r="Q22">
        <v>3</v>
      </c>
      <c r="R22" t="s">
        <v>41</v>
      </c>
    </row>
    <row r="23" spans="1:18">
      <c r="A23" t="s">
        <v>71</v>
      </c>
      <c r="B23" s="4">
        <v>46156</v>
      </c>
      <c r="C23" t="s">
        <v>36</v>
      </c>
      <c r="D23" t="s">
        <v>37</v>
      </c>
      <c r="E23" t="s">
        <v>59</v>
      </c>
      <c r="F23" t="s">
        <v>46</v>
      </c>
      <c r="G23" t="s">
        <v>43</v>
      </c>
      <c r="H23">
        <v>1</v>
      </c>
      <c r="I23" s="5">
        <v>400133</v>
      </c>
      <c r="J23" s="5">
        <v>46648</v>
      </c>
      <c r="K23" s="5">
        <v>353485</v>
      </c>
      <c r="L23" s="5">
        <v>228083</v>
      </c>
      <c r="M23" s="5">
        <v>23750</v>
      </c>
      <c r="N23" s="5">
        <v>0</v>
      </c>
      <c r="O23" s="5">
        <v>65587</v>
      </c>
      <c r="P23" s="5">
        <v>36065</v>
      </c>
      <c r="Q23">
        <v>2</v>
      </c>
      <c r="R23" t="s">
        <v>41</v>
      </c>
    </row>
    <row r="24" spans="1:18">
      <c r="A24" t="s">
        <v>72</v>
      </c>
      <c r="B24" s="4">
        <v>46135</v>
      </c>
      <c r="C24" t="s">
        <v>36</v>
      </c>
      <c r="D24" t="s">
        <v>37</v>
      </c>
      <c r="E24" t="s">
        <v>45</v>
      </c>
      <c r="F24" t="s">
        <v>49</v>
      </c>
      <c r="G24" t="s">
        <v>43</v>
      </c>
      <c r="H24">
        <v>4</v>
      </c>
      <c r="I24" s="5">
        <v>269354</v>
      </c>
      <c r="J24" s="5">
        <v>21457</v>
      </c>
      <c r="K24" s="5">
        <v>247897</v>
      </c>
      <c r="L24" s="5">
        <v>162535</v>
      </c>
      <c r="M24" s="5">
        <v>16759</v>
      </c>
      <c r="N24" s="5">
        <v>0</v>
      </c>
      <c r="O24" s="5">
        <v>34501</v>
      </c>
      <c r="P24" s="5">
        <v>34102</v>
      </c>
      <c r="Q24">
        <v>4</v>
      </c>
      <c r="R24" t="s">
        <v>41</v>
      </c>
    </row>
    <row r="25" spans="1:18">
      <c r="A25" t="s">
        <v>73</v>
      </c>
      <c r="B25" s="4">
        <v>46124</v>
      </c>
      <c r="C25" t="s">
        <v>36</v>
      </c>
      <c r="D25" t="s">
        <v>37</v>
      </c>
      <c r="E25" t="s">
        <v>45</v>
      </c>
      <c r="F25" t="s">
        <v>46</v>
      </c>
      <c r="G25" t="s">
        <v>40</v>
      </c>
      <c r="H25">
        <v>4</v>
      </c>
      <c r="I25" s="5">
        <v>205262</v>
      </c>
      <c r="J25" s="5">
        <v>11877</v>
      </c>
      <c r="K25" s="5">
        <v>193385</v>
      </c>
      <c r="L25" s="5">
        <v>124309</v>
      </c>
      <c r="M25" s="5">
        <v>16606</v>
      </c>
      <c r="N25" s="5">
        <v>0</v>
      </c>
      <c r="O25" s="5">
        <v>35622</v>
      </c>
      <c r="P25" s="5">
        <v>16848</v>
      </c>
      <c r="Q25">
        <v>4</v>
      </c>
      <c r="R25" t="s">
        <v>41</v>
      </c>
    </row>
    <row r="26" spans="1:18">
      <c r="A26" t="s">
        <v>74</v>
      </c>
      <c r="B26" s="4">
        <v>46175</v>
      </c>
      <c r="C26" t="s">
        <v>36</v>
      </c>
      <c r="D26" t="s">
        <v>37</v>
      </c>
      <c r="E26" t="s">
        <v>38</v>
      </c>
      <c r="F26" t="s">
        <v>39</v>
      </c>
      <c r="G26" t="s">
        <v>43</v>
      </c>
      <c r="H26">
        <v>3</v>
      </c>
      <c r="I26" s="5">
        <v>458795</v>
      </c>
      <c r="J26" s="5">
        <v>28876</v>
      </c>
      <c r="K26" s="5">
        <v>429919</v>
      </c>
      <c r="L26" s="5">
        <v>287659</v>
      </c>
      <c r="M26" s="5">
        <v>32307</v>
      </c>
      <c r="N26" s="5">
        <v>0</v>
      </c>
      <c r="O26" s="5">
        <v>85031</v>
      </c>
      <c r="P26" s="5">
        <v>24922</v>
      </c>
      <c r="Q26">
        <v>2</v>
      </c>
      <c r="R26" t="s">
        <v>41</v>
      </c>
    </row>
    <row r="27" spans="1:18">
      <c r="A27" t="s">
        <v>75</v>
      </c>
      <c r="B27" s="4">
        <v>46137</v>
      </c>
      <c r="C27" t="s">
        <v>36</v>
      </c>
      <c r="D27" t="s">
        <v>37</v>
      </c>
      <c r="E27" t="s">
        <v>59</v>
      </c>
      <c r="F27" t="s">
        <v>51</v>
      </c>
      <c r="G27" t="s">
        <v>43</v>
      </c>
      <c r="H27">
        <v>4</v>
      </c>
      <c r="I27" s="5">
        <v>274630</v>
      </c>
      <c r="J27" s="5">
        <v>27811</v>
      </c>
      <c r="K27" s="5">
        <v>246819</v>
      </c>
      <c r="L27" s="5">
        <v>173685</v>
      </c>
      <c r="M27" s="5">
        <v>18812</v>
      </c>
      <c r="N27" s="5">
        <v>0</v>
      </c>
      <c r="O27" s="5">
        <v>36275</v>
      </c>
      <c r="P27" s="5">
        <v>18047</v>
      </c>
      <c r="Q27">
        <v>5</v>
      </c>
      <c r="R27" t="s">
        <v>41</v>
      </c>
    </row>
    <row r="28" spans="1:18">
      <c r="A28" t="s">
        <v>76</v>
      </c>
      <c r="B28" s="4">
        <v>46115</v>
      </c>
      <c r="C28" t="s">
        <v>36</v>
      </c>
      <c r="D28" t="s">
        <v>37</v>
      </c>
      <c r="E28" t="s">
        <v>59</v>
      </c>
      <c r="F28" t="s">
        <v>39</v>
      </c>
      <c r="G28" t="s">
        <v>40</v>
      </c>
      <c r="H28">
        <v>4</v>
      </c>
      <c r="I28" s="5">
        <v>191246</v>
      </c>
      <c r="J28" s="5">
        <v>16369</v>
      </c>
      <c r="K28" s="5">
        <v>174877</v>
      </c>
      <c r="L28" s="5">
        <v>109940</v>
      </c>
      <c r="M28" s="5">
        <v>13456</v>
      </c>
      <c r="N28" s="5">
        <v>0</v>
      </c>
      <c r="O28" s="5">
        <v>28698</v>
      </c>
      <c r="P28" s="5">
        <v>22783</v>
      </c>
      <c r="Q28">
        <v>3</v>
      </c>
      <c r="R28" t="s">
        <v>41</v>
      </c>
    </row>
    <row r="29" spans="1:18">
      <c r="A29" t="s">
        <v>77</v>
      </c>
      <c r="B29" s="4">
        <v>46167</v>
      </c>
      <c r="C29" t="s">
        <v>36</v>
      </c>
      <c r="D29" t="s">
        <v>37</v>
      </c>
      <c r="E29" t="s">
        <v>45</v>
      </c>
      <c r="F29" t="s">
        <v>39</v>
      </c>
      <c r="G29" t="s">
        <v>43</v>
      </c>
      <c r="H29">
        <v>3</v>
      </c>
      <c r="I29" s="5">
        <v>195456</v>
      </c>
      <c r="J29" s="5">
        <v>19408</v>
      </c>
      <c r="K29" s="5">
        <v>176048</v>
      </c>
      <c r="L29" s="5">
        <v>118582</v>
      </c>
      <c r="M29" s="5">
        <v>12780</v>
      </c>
      <c r="N29" s="5">
        <v>0</v>
      </c>
      <c r="O29" s="5">
        <v>30561</v>
      </c>
      <c r="P29" s="5">
        <v>14125</v>
      </c>
      <c r="Q29">
        <v>2</v>
      </c>
      <c r="R29" t="s">
        <v>41</v>
      </c>
    </row>
    <row r="30" spans="1:18">
      <c r="A30" t="s">
        <v>78</v>
      </c>
      <c r="B30" s="4">
        <v>46201</v>
      </c>
      <c r="C30" t="s">
        <v>36</v>
      </c>
      <c r="D30" t="s">
        <v>37</v>
      </c>
      <c r="E30" t="s">
        <v>38</v>
      </c>
      <c r="F30" t="s">
        <v>51</v>
      </c>
      <c r="G30" t="s">
        <v>40</v>
      </c>
      <c r="H30">
        <v>6</v>
      </c>
      <c r="I30" s="5">
        <v>442298</v>
      </c>
      <c r="J30" s="5">
        <v>44749</v>
      </c>
      <c r="K30" s="5">
        <v>397549</v>
      </c>
      <c r="L30" s="5">
        <v>279584</v>
      </c>
      <c r="M30" s="5">
        <v>27256</v>
      </c>
      <c r="N30" s="5">
        <v>0</v>
      </c>
      <c r="O30" s="5">
        <v>68484</v>
      </c>
      <c r="P30" s="5">
        <v>22225</v>
      </c>
      <c r="Q30">
        <v>4</v>
      </c>
      <c r="R30" t="s">
        <v>41</v>
      </c>
    </row>
    <row r="31" spans="1:18">
      <c r="A31" t="s">
        <v>79</v>
      </c>
      <c r="B31" s="4">
        <v>46125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>
        <v>3</v>
      </c>
      <c r="I31" s="5">
        <v>344243</v>
      </c>
      <c r="J31" s="5">
        <v>18613</v>
      </c>
      <c r="K31" s="5">
        <v>325630</v>
      </c>
      <c r="L31" s="5">
        <v>221210</v>
      </c>
      <c r="M31" s="5">
        <v>23329</v>
      </c>
      <c r="N31" s="5">
        <v>0</v>
      </c>
      <c r="O31" s="5">
        <v>43535</v>
      </c>
      <c r="P31" s="5">
        <v>37556</v>
      </c>
      <c r="Q31">
        <v>3</v>
      </c>
      <c r="R31" t="s">
        <v>41</v>
      </c>
    </row>
    <row r="32" spans="1:18">
      <c r="A32" t="s">
        <v>80</v>
      </c>
      <c r="B32" s="4">
        <v>46183</v>
      </c>
      <c r="C32" t="s">
        <v>36</v>
      </c>
      <c r="D32" t="s">
        <v>37</v>
      </c>
      <c r="E32" t="s">
        <v>45</v>
      </c>
      <c r="F32" t="s">
        <v>51</v>
      </c>
      <c r="G32" t="s">
        <v>43</v>
      </c>
      <c r="H32">
        <v>1</v>
      </c>
      <c r="I32" s="5">
        <v>434540</v>
      </c>
      <c r="J32" s="5">
        <v>48901</v>
      </c>
      <c r="K32" s="5">
        <v>385639</v>
      </c>
      <c r="L32" s="5">
        <v>266686</v>
      </c>
      <c r="M32" s="5">
        <v>25996</v>
      </c>
      <c r="N32" s="5">
        <v>0</v>
      </c>
      <c r="O32" s="5">
        <v>73609</v>
      </c>
      <c r="P32" s="5">
        <v>19348</v>
      </c>
      <c r="Q32">
        <v>3</v>
      </c>
      <c r="R32" t="s">
        <v>41</v>
      </c>
    </row>
    <row r="33" spans="1:18">
      <c r="A33" t="s">
        <v>81</v>
      </c>
      <c r="B33" s="4">
        <v>46119</v>
      </c>
      <c r="C33" t="s">
        <v>36</v>
      </c>
      <c r="D33" t="s">
        <v>37</v>
      </c>
      <c r="E33" t="s">
        <v>45</v>
      </c>
      <c r="F33" t="s">
        <v>46</v>
      </c>
      <c r="G33" t="s">
        <v>40</v>
      </c>
      <c r="H33">
        <v>1</v>
      </c>
      <c r="I33" s="5">
        <v>422784</v>
      </c>
      <c r="J33" s="5">
        <v>59979</v>
      </c>
      <c r="K33" s="5">
        <v>362805</v>
      </c>
      <c r="L33" s="5">
        <v>238584</v>
      </c>
      <c r="M33" s="5">
        <v>25640</v>
      </c>
      <c r="N33" s="5">
        <v>0</v>
      </c>
      <c r="O33" s="5">
        <v>66113</v>
      </c>
      <c r="P33" s="5">
        <v>32468</v>
      </c>
      <c r="Q33">
        <v>2</v>
      </c>
      <c r="R33" t="s">
        <v>41</v>
      </c>
    </row>
    <row r="34" spans="1:18">
      <c r="A34" t="s">
        <v>82</v>
      </c>
      <c r="B34" s="4">
        <v>46185</v>
      </c>
      <c r="C34" t="s">
        <v>36</v>
      </c>
      <c r="D34" t="s">
        <v>37</v>
      </c>
      <c r="E34" t="s">
        <v>45</v>
      </c>
      <c r="F34" t="s">
        <v>61</v>
      </c>
      <c r="G34" t="s">
        <v>40</v>
      </c>
      <c r="H34">
        <v>1</v>
      </c>
      <c r="I34" s="5">
        <v>339253</v>
      </c>
      <c r="J34" s="5">
        <v>33537</v>
      </c>
      <c r="K34" s="5">
        <v>305716</v>
      </c>
      <c r="L34" s="5">
        <v>207417</v>
      </c>
      <c r="M34" s="5">
        <v>17497</v>
      </c>
      <c r="N34" s="5">
        <v>0</v>
      </c>
      <c r="O34" s="5">
        <v>56655</v>
      </c>
      <c r="P34" s="5">
        <v>24147</v>
      </c>
      <c r="Q34">
        <v>4</v>
      </c>
      <c r="R34" t="s">
        <v>41</v>
      </c>
    </row>
    <row r="35" spans="1:18">
      <c r="A35" t="s">
        <v>83</v>
      </c>
      <c r="B35" s="4">
        <v>46161</v>
      </c>
      <c r="C35" t="s">
        <v>36</v>
      </c>
      <c r="D35" t="s">
        <v>37</v>
      </c>
      <c r="E35" t="s">
        <v>55</v>
      </c>
      <c r="F35" t="s">
        <v>46</v>
      </c>
      <c r="G35" t="s">
        <v>43</v>
      </c>
      <c r="H35">
        <v>5</v>
      </c>
      <c r="I35" s="5">
        <v>470398</v>
      </c>
      <c r="J35" s="5">
        <v>35788</v>
      </c>
      <c r="K35" s="5">
        <v>434610</v>
      </c>
      <c r="L35" s="5">
        <v>301730</v>
      </c>
      <c r="M35" s="5">
        <v>34849</v>
      </c>
      <c r="N35" s="5">
        <v>0</v>
      </c>
      <c r="O35" s="5">
        <v>74693</v>
      </c>
      <c r="P35" s="5">
        <v>23338</v>
      </c>
      <c r="Q35">
        <v>3</v>
      </c>
      <c r="R35" t="s">
        <v>41</v>
      </c>
    </row>
    <row r="36" spans="1:18">
      <c r="A36" t="s">
        <v>84</v>
      </c>
      <c r="B36" s="4">
        <v>46139</v>
      </c>
      <c r="C36" t="s">
        <v>36</v>
      </c>
      <c r="D36" t="s">
        <v>37</v>
      </c>
      <c r="E36" t="s">
        <v>38</v>
      </c>
      <c r="F36" t="s">
        <v>39</v>
      </c>
      <c r="G36" t="s">
        <v>40</v>
      </c>
      <c r="H36">
        <v>2</v>
      </c>
      <c r="I36" s="5">
        <v>301323</v>
      </c>
      <c r="J36" s="5">
        <v>42131</v>
      </c>
      <c r="K36" s="5">
        <v>259192</v>
      </c>
      <c r="L36" s="5">
        <v>163621</v>
      </c>
      <c r="M36" s="5">
        <v>18762</v>
      </c>
      <c r="N36" s="5">
        <v>0</v>
      </c>
      <c r="O36" s="5">
        <v>39961</v>
      </c>
      <c r="P36" s="5">
        <v>36848</v>
      </c>
      <c r="Q36">
        <v>3</v>
      </c>
      <c r="R36" t="s">
        <v>41</v>
      </c>
    </row>
    <row r="37" spans="1:18">
      <c r="A37" t="s">
        <v>85</v>
      </c>
      <c r="B37" s="4">
        <v>46173</v>
      </c>
      <c r="C37" t="s">
        <v>36</v>
      </c>
      <c r="D37" t="s">
        <v>37</v>
      </c>
      <c r="E37" t="s">
        <v>45</v>
      </c>
      <c r="F37" t="s">
        <v>61</v>
      </c>
      <c r="G37" t="s">
        <v>40</v>
      </c>
      <c r="H37">
        <v>3</v>
      </c>
      <c r="I37" s="5">
        <v>349852</v>
      </c>
      <c r="J37" s="5">
        <v>39471</v>
      </c>
      <c r="K37" s="5">
        <v>310381</v>
      </c>
      <c r="L37" s="5">
        <v>189186</v>
      </c>
      <c r="M37" s="5">
        <v>20808</v>
      </c>
      <c r="N37" s="5">
        <v>0</v>
      </c>
      <c r="O37" s="5">
        <v>62575</v>
      </c>
      <c r="P37" s="5">
        <v>37812</v>
      </c>
      <c r="Q37">
        <v>5</v>
      </c>
      <c r="R37" t="s">
        <v>41</v>
      </c>
    </row>
    <row r="38" spans="1:18">
      <c r="A38" t="s">
        <v>86</v>
      </c>
      <c r="B38" s="4">
        <v>46193</v>
      </c>
      <c r="C38" t="s">
        <v>36</v>
      </c>
      <c r="D38" t="s">
        <v>37</v>
      </c>
      <c r="E38" t="s">
        <v>38</v>
      </c>
      <c r="F38" t="s">
        <v>46</v>
      </c>
      <c r="G38" t="s">
        <v>40</v>
      </c>
      <c r="H38">
        <v>5</v>
      </c>
      <c r="I38" s="5">
        <v>433589</v>
      </c>
      <c r="J38" s="5">
        <v>41377</v>
      </c>
      <c r="K38" s="5">
        <v>392212</v>
      </c>
      <c r="L38" s="5">
        <v>263487</v>
      </c>
      <c r="M38" s="5">
        <v>31981</v>
      </c>
      <c r="N38" s="5">
        <v>0</v>
      </c>
      <c r="O38" s="5">
        <v>70049</v>
      </c>
      <c r="P38" s="5">
        <v>26695</v>
      </c>
      <c r="Q38">
        <v>1</v>
      </c>
      <c r="R38" t="s">
        <v>41</v>
      </c>
    </row>
    <row r="39" spans="1:18">
      <c r="A39" t="s">
        <v>87</v>
      </c>
      <c r="B39" s="4">
        <v>46189</v>
      </c>
      <c r="C39" t="s">
        <v>36</v>
      </c>
      <c r="D39" t="s">
        <v>37</v>
      </c>
      <c r="E39" t="s">
        <v>45</v>
      </c>
      <c r="F39" t="s">
        <v>46</v>
      </c>
      <c r="G39" t="s">
        <v>40</v>
      </c>
      <c r="H39">
        <v>4</v>
      </c>
      <c r="I39" s="5">
        <v>372091</v>
      </c>
      <c r="J39" s="5">
        <v>42096</v>
      </c>
      <c r="K39" s="5">
        <v>329995</v>
      </c>
      <c r="L39" s="5">
        <v>210600</v>
      </c>
      <c r="M39" s="5">
        <v>19653</v>
      </c>
      <c r="N39" s="5">
        <v>18461</v>
      </c>
      <c r="O39" s="5">
        <v>50474</v>
      </c>
      <c r="P39" s="5">
        <v>30807</v>
      </c>
      <c r="Q39">
        <v>4</v>
      </c>
      <c r="R39" t="s">
        <v>53</v>
      </c>
    </row>
    <row r="40" spans="1:18">
      <c r="A40" t="s">
        <v>88</v>
      </c>
      <c r="B40" s="4">
        <v>46123</v>
      </c>
      <c r="C40" t="s">
        <v>36</v>
      </c>
      <c r="D40" t="s">
        <v>37</v>
      </c>
      <c r="E40" t="s">
        <v>59</v>
      </c>
      <c r="F40" t="s">
        <v>46</v>
      </c>
      <c r="G40" t="s">
        <v>43</v>
      </c>
      <c r="H40">
        <v>5</v>
      </c>
      <c r="I40" s="5">
        <v>441279</v>
      </c>
      <c r="J40" s="5">
        <v>39537</v>
      </c>
      <c r="K40" s="5">
        <v>401742</v>
      </c>
      <c r="L40" s="5">
        <v>294605</v>
      </c>
      <c r="M40" s="5">
        <v>30822</v>
      </c>
      <c r="N40" s="5">
        <v>0</v>
      </c>
      <c r="O40" s="5">
        <v>59759</v>
      </c>
      <c r="P40" s="5">
        <v>16556</v>
      </c>
      <c r="Q40">
        <v>1</v>
      </c>
      <c r="R40" t="s">
        <v>41</v>
      </c>
    </row>
    <row r="41" spans="1:18">
      <c r="A41" t="s">
        <v>89</v>
      </c>
      <c r="B41" s="4">
        <v>46115</v>
      </c>
      <c r="C41" t="s">
        <v>36</v>
      </c>
      <c r="D41" t="s">
        <v>37</v>
      </c>
      <c r="E41" t="s">
        <v>45</v>
      </c>
      <c r="F41" t="s">
        <v>49</v>
      </c>
      <c r="G41" t="s">
        <v>40</v>
      </c>
      <c r="H41">
        <v>2</v>
      </c>
      <c r="I41" s="5">
        <v>357119</v>
      </c>
      <c r="J41" s="5">
        <v>39270</v>
      </c>
      <c r="K41" s="5">
        <v>317849</v>
      </c>
      <c r="L41" s="5">
        <v>228211</v>
      </c>
      <c r="M41" s="5">
        <v>27816</v>
      </c>
      <c r="N41" s="5">
        <v>0</v>
      </c>
      <c r="O41" s="5">
        <v>41677</v>
      </c>
      <c r="P41" s="5">
        <v>20145</v>
      </c>
      <c r="Q41">
        <v>4</v>
      </c>
      <c r="R41" t="s">
        <v>41</v>
      </c>
    </row>
    <row r="42" spans="1:18">
      <c r="A42" t="s">
        <v>90</v>
      </c>
      <c r="B42" s="4">
        <v>46194</v>
      </c>
      <c r="C42" t="s">
        <v>36</v>
      </c>
      <c r="D42" t="s">
        <v>37</v>
      </c>
      <c r="E42" t="s">
        <v>55</v>
      </c>
      <c r="F42" t="s">
        <v>61</v>
      </c>
      <c r="G42" t="s">
        <v>43</v>
      </c>
      <c r="H42">
        <v>3</v>
      </c>
      <c r="I42" s="5">
        <v>378086</v>
      </c>
      <c r="J42" s="5">
        <v>22704</v>
      </c>
      <c r="K42" s="5">
        <v>355382</v>
      </c>
      <c r="L42" s="5">
        <v>242645</v>
      </c>
      <c r="M42" s="5">
        <v>21405</v>
      </c>
      <c r="N42" s="5">
        <v>0</v>
      </c>
      <c r="O42" s="5">
        <v>54196</v>
      </c>
      <c r="P42" s="5">
        <v>37136</v>
      </c>
      <c r="Q42">
        <v>4</v>
      </c>
      <c r="R42" t="s">
        <v>41</v>
      </c>
    </row>
    <row r="43" spans="1:18">
      <c r="A43" t="s">
        <v>91</v>
      </c>
      <c r="B43" s="4">
        <v>46176</v>
      </c>
      <c r="C43" t="s">
        <v>36</v>
      </c>
      <c r="D43" t="s">
        <v>37</v>
      </c>
      <c r="E43" t="s">
        <v>45</v>
      </c>
      <c r="F43" t="s">
        <v>46</v>
      </c>
      <c r="G43" t="s">
        <v>40</v>
      </c>
      <c r="H43">
        <v>4</v>
      </c>
      <c r="I43" s="5">
        <v>175832</v>
      </c>
      <c r="J43" s="5">
        <v>14799</v>
      </c>
      <c r="K43" s="5">
        <v>161033</v>
      </c>
      <c r="L43" s="5">
        <v>92206</v>
      </c>
      <c r="M43" s="5">
        <v>8885</v>
      </c>
      <c r="N43" s="5">
        <v>0</v>
      </c>
      <c r="O43" s="5">
        <v>32655</v>
      </c>
      <c r="P43" s="5">
        <v>27287</v>
      </c>
      <c r="Q43">
        <v>4</v>
      </c>
      <c r="R43" t="s">
        <v>41</v>
      </c>
    </row>
    <row r="44" spans="1:18">
      <c r="A44" t="s">
        <v>92</v>
      </c>
      <c r="B44" s="4">
        <v>46113</v>
      </c>
      <c r="C44" t="s">
        <v>36</v>
      </c>
      <c r="D44" t="s">
        <v>37</v>
      </c>
      <c r="E44" t="s">
        <v>55</v>
      </c>
      <c r="F44" t="s">
        <v>46</v>
      </c>
      <c r="G44" t="s">
        <v>40</v>
      </c>
      <c r="H44">
        <v>2</v>
      </c>
      <c r="I44" s="5">
        <v>247611</v>
      </c>
      <c r="J44" s="5">
        <v>32861</v>
      </c>
      <c r="K44" s="5">
        <v>214750</v>
      </c>
      <c r="L44" s="5">
        <v>130076</v>
      </c>
      <c r="M44" s="5">
        <v>17125</v>
      </c>
      <c r="N44" s="5">
        <v>0</v>
      </c>
      <c r="O44" s="5">
        <v>41197</v>
      </c>
      <c r="P44" s="5">
        <v>26352</v>
      </c>
      <c r="Q44">
        <v>4</v>
      </c>
      <c r="R44" t="s">
        <v>41</v>
      </c>
    </row>
    <row r="45" spans="1:18">
      <c r="A45" t="s">
        <v>93</v>
      </c>
      <c r="B45" s="4">
        <v>46129</v>
      </c>
      <c r="C45" t="s">
        <v>36</v>
      </c>
      <c r="D45" t="s">
        <v>37</v>
      </c>
      <c r="E45" t="s">
        <v>45</v>
      </c>
      <c r="F45" t="s">
        <v>46</v>
      </c>
      <c r="G45" t="s">
        <v>43</v>
      </c>
      <c r="H45">
        <v>1</v>
      </c>
      <c r="I45" s="5">
        <v>248144</v>
      </c>
      <c r="J45" s="5">
        <v>15252</v>
      </c>
      <c r="K45" s="5">
        <v>232892</v>
      </c>
      <c r="L45" s="5">
        <v>145942</v>
      </c>
      <c r="M45" s="5">
        <v>15640</v>
      </c>
      <c r="N45" s="5">
        <v>8190</v>
      </c>
      <c r="O45" s="5">
        <v>31565</v>
      </c>
      <c r="P45" s="5">
        <v>31555</v>
      </c>
      <c r="Q45">
        <v>3</v>
      </c>
      <c r="R45" t="s">
        <v>53</v>
      </c>
    </row>
    <row r="46" spans="1:18">
      <c r="A46" t="s">
        <v>94</v>
      </c>
      <c r="B46" s="4">
        <v>46114</v>
      </c>
      <c r="C46" t="s">
        <v>36</v>
      </c>
      <c r="D46" t="s">
        <v>37</v>
      </c>
      <c r="E46" t="s">
        <v>55</v>
      </c>
      <c r="F46" t="s">
        <v>61</v>
      </c>
      <c r="G46" t="s">
        <v>40</v>
      </c>
      <c r="H46">
        <v>1</v>
      </c>
      <c r="I46" s="5">
        <v>203285</v>
      </c>
      <c r="J46" s="5">
        <v>32230</v>
      </c>
      <c r="K46" s="5">
        <v>171055</v>
      </c>
      <c r="L46" s="5">
        <v>118029</v>
      </c>
      <c r="M46" s="5">
        <v>13874</v>
      </c>
      <c r="N46" s="5">
        <v>0</v>
      </c>
      <c r="O46" s="5">
        <v>25064</v>
      </c>
      <c r="P46" s="5">
        <v>14088</v>
      </c>
      <c r="Q46">
        <v>4</v>
      </c>
      <c r="R46" t="s">
        <v>41</v>
      </c>
    </row>
    <row r="47" spans="1:18">
      <c r="A47" t="s">
        <v>95</v>
      </c>
      <c r="B47" s="4">
        <v>46178</v>
      </c>
      <c r="C47" t="s">
        <v>36</v>
      </c>
      <c r="D47" t="s">
        <v>37</v>
      </c>
      <c r="E47" t="s">
        <v>45</v>
      </c>
      <c r="F47" t="s">
        <v>46</v>
      </c>
      <c r="G47" t="s">
        <v>43</v>
      </c>
      <c r="H47">
        <v>4</v>
      </c>
      <c r="I47" s="5">
        <v>238365</v>
      </c>
      <c r="J47" s="5">
        <v>22171</v>
      </c>
      <c r="K47" s="5">
        <v>216194</v>
      </c>
      <c r="L47" s="5">
        <v>142509</v>
      </c>
      <c r="M47" s="5">
        <v>15090</v>
      </c>
      <c r="N47" s="5">
        <v>0</v>
      </c>
      <c r="O47" s="5">
        <v>31182</v>
      </c>
      <c r="P47" s="5">
        <v>27413</v>
      </c>
      <c r="Q47">
        <v>3</v>
      </c>
      <c r="R47" t="s">
        <v>41</v>
      </c>
    </row>
    <row r="48" spans="1:18">
      <c r="A48" t="s">
        <v>96</v>
      </c>
      <c r="B48" s="4">
        <v>46130</v>
      </c>
      <c r="C48" t="s">
        <v>36</v>
      </c>
      <c r="D48" t="s">
        <v>37</v>
      </c>
      <c r="E48" t="s">
        <v>59</v>
      </c>
      <c r="F48" t="s">
        <v>39</v>
      </c>
      <c r="G48" t="s">
        <v>43</v>
      </c>
      <c r="H48">
        <v>3</v>
      </c>
      <c r="I48" s="5">
        <v>199618</v>
      </c>
      <c r="J48" s="5">
        <v>22306</v>
      </c>
      <c r="K48" s="5">
        <v>177312</v>
      </c>
      <c r="L48" s="5">
        <v>108575</v>
      </c>
      <c r="M48" s="5">
        <v>14720</v>
      </c>
      <c r="N48" s="5">
        <v>0</v>
      </c>
      <c r="O48" s="5">
        <v>28660</v>
      </c>
      <c r="P48" s="5">
        <v>25357</v>
      </c>
      <c r="Q48">
        <v>5</v>
      </c>
      <c r="R48" t="s">
        <v>41</v>
      </c>
    </row>
    <row r="49" spans="1:18">
      <c r="A49" t="s">
        <v>97</v>
      </c>
      <c r="B49" s="4">
        <v>46188</v>
      </c>
      <c r="C49" t="s">
        <v>36</v>
      </c>
      <c r="D49" t="s">
        <v>37</v>
      </c>
      <c r="E49" t="s">
        <v>55</v>
      </c>
      <c r="F49" t="s">
        <v>51</v>
      </c>
      <c r="G49" t="s">
        <v>43</v>
      </c>
      <c r="H49">
        <v>5</v>
      </c>
      <c r="I49" s="5">
        <v>269446</v>
      </c>
      <c r="J49" s="5">
        <v>39922</v>
      </c>
      <c r="K49" s="5">
        <v>229524</v>
      </c>
      <c r="L49" s="5">
        <v>147242</v>
      </c>
      <c r="M49" s="5">
        <v>13929</v>
      </c>
      <c r="N49" s="5">
        <v>0</v>
      </c>
      <c r="O49" s="5">
        <v>34150</v>
      </c>
      <c r="P49" s="5">
        <v>34203</v>
      </c>
      <c r="Q49">
        <v>3</v>
      </c>
      <c r="R49" t="s">
        <v>41</v>
      </c>
    </row>
    <row r="50" spans="1:18">
      <c r="A50" t="s">
        <v>98</v>
      </c>
      <c r="B50" s="4">
        <v>46137</v>
      </c>
      <c r="C50" t="s">
        <v>36</v>
      </c>
      <c r="D50" t="s">
        <v>37</v>
      </c>
      <c r="E50" t="s">
        <v>38</v>
      </c>
      <c r="F50" t="s">
        <v>49</v>
      </c>
      <c r="G50" t="s">
        <v>43</v>
      </c>
      <c r="H50">
        <v>2</v>
      </c>
      <c r="I50" s="5">
        <v>363675</v>
      </c>
      <c r="J50" s="5">
        <v>28616</v>
      </c>
      <c r="K50" s="5">
        <v>335059</v>
      </c>
      <c r="L50" s="5">
        <v>238399</v>
      </c>
      <c r="M50" s="5">
        <v>23910</v>
      </c>
      <c r="N50" s="5">
        <v>0</v>
      </c>
      <c r="O50" s="5">
        <v>56127</v>
      </c>
      <c r="P50" s="5">
        <v>16623</v>
      </c>
      <c r="Q50">
        <v>3</v>
      </c>
      <c r="R50" t="s">
        <v>41</v>
      </c>
    </row>
    <row r="51" spans="1:18">
      <c r="A51" t="s">
        <v>99</v>
      </c>
      <c r="B51" s="4">
        <v>46161</v>
      </c>
      <c r="C51" t="s">
        <v>36</v>
      </c>
      <c r="D51" t="s">
        <v>37</v>
      </c>
      <c r="E51" t="s">
        <v>55</v>
      </c>
      <c r="F51" t="s">
        <v>51</v>
      </c>
      <c r="G51" t="s">
        <v>43</v>
      </c>
      <c r="H51">
        <v>1</v>
      </c>
      <c r="I51" s="5">
        <v>294034</v>
      </c>
      <c r="J51" s="5">
        <v>38884</v>
      </c>
      <c r="K51" s="5">
        <v>255150</v>
      </c>
      <c r="L51" s="5">
        <v>154634</v>
      </c>
      <c r="M51" s="5">
        <v>17221</v>
      </c>
      <c r="N51" s="5">
        <v>0</v>
      </c>
      <c r="O51" s="5">
        <v>46359</v>
      </c>
      <c r="P51" s="5">
        <v>36936</v>
      </c>
      <c r="Q51">
        <v>2</v>
      </c>
      <c r="R51" t="s">
        <v>41</v>
      </c>
    </row>
    <row r="52" spans="1:18">
      <c r="A52" t="s">
        <v>100</v>
      </c>
      <c r="B52" s="4">
        <v>46125</v>
      </c>
      <c r="C52" t="s">
        <v>36</v>
      </c>
      <c r="D52" t="s">
        <v>37</v>
      </c>
      <c r="E52" t="s">
        <v>55</v>
      </c>
      <c r="F52" t="s">
        <v>61</v>
      </c>
      <c r="G52" t="s">
        <v>40</v>
      </c>
      <c r="H52">
        <v>4</v>
      </c>
      <c r="I52" s="5">
        <v>310687</v>
      </c>
      <c r="J52" s="5">
        <v>53959</v>
      </c>
      <c r="K52" s="5">
        <v>256728</v>
      </c>
      <c r="L52" s="5">
        <v>171833</v>
      </c>
      <c r="M52" s="5">
        <v>15495</v>
      </c>
      <c r="N52" s="5">
        <v>0</v>
      </c>
      <c r="O52" s="5">
        <v>54732</v>
      </c>
      <c r="P52" s="5">
        <v>14668</v>
      </c>
      <c r="Q52">
        <v>6</v>
      </c>
      <c r="R52" t="s">
        <v>41</v>
      </c>
    </row>
    <row r="53" spans="1:18">
      <c r="A53" t="s">
        <v>101</v>
      </c>
      <c r="B53" s="4">
        <v>46192</v>
      </c>
      <c r="C53" t="s">
        <v>36</v>
      </c>
      <c r="D53" t="s">
        <v>37</v>
      </c>
      <c r="E53" t="s">
        <v>55</v>
      </c>
      <c r="F53" t="s">
        <v>61</v>
      </c>
      <c r="G53" t="s">
        <v>43</v>
      </c>
      <c r="H53">
        <v>6</v>
      </c>
      <c r="I53" s="5">
        <v>253367</v>
      </c>
      <c r="J53" s="5">
        <v>44043</v>
      </c>
      <c r="K53" s="5">
        <v>209324</v>
      </c>
      <c r="L53" s="5">
        <v>131841</v>
      </c>
      <c r="M53" s="5">
        <v>17520</v>
      </c>
      <c r="N53" s="5">
        <v>0</v>
      </c>
      <c r="O53" s="5">
        <v>42622</v>
      </c>
      <c r="P53" s="5">
        <v>17341</v>
      </c>
      <c r="Q53">
        <v>1</v>
      </c>
      <c r="R53" t="s">
        <v>41</v>
      </c>
    </row>
    <row r="54" spans="1:18">
      <c r="A54" t="s">
        <v>102</v>
      </c>
      <c r="B54" s="4">
        <v>46182</v>
      </c>
      <c r="C54" t="s">
        <v>36</v>
      </c>
      <c r="D54" t="s">
        <v>37</v>
      </c>
      <c r="E54" t="s">
        <v>59</v>
      </c>
      <c r="F54" t="s">
        <v>49</v>
      </c>
      <c r="G54" t="s">
        <v>40</v>
      </c>
      <c r="H54">
        <v>2</v>
      </c>
      <c r="I54" s="5">
        <v>260603</v>
      </c>
      <c r="J54" s="5">
        <v>34323</v>
      </c>
      <c r="K54" s="5">
        <v>226280</v>
      </c>
      <c r="L54" s="5">
        <v>140702</v>
      </c>
      <c r="M54" s="5">
        <v>17624</v>
      </c>
      <c r="N54" s="5">
        <v>0</v>
      </c>
      <c r="O54" s="5">
        <v>40266</v>
      </c>
      <c r="P54" s="5">
        <v>27688</v>
      </c>
      <c r="Q54">
        <v>2</v>
      </c>
      <c r="R54" t="s">
        <v>41</v>
      </c>
    </row>
    <row r="55" spans="1:18">
      <c r="A55" t="s">
        <v>103</v>
      </c>
      <c r="B55" s="4">
        <v>46125</v>
      </c>
      <c r="C55" t="s">
        <v>36</v>
      </c>
      <c r="D55" t="s">
        <v>37</v>
      </c>
      <c r="E55" t="s">
        <v>59</v>
      </c>
      <c r="F55" t="s">
        <v>46</v>
      </c>
      <c r="G55" t="s">
        <v>40</v>
      </c>
      <c r="H55">
        <v>6</v>
      </c>
      <c r="I55" s="5">
        <v>449210</v>
      </c>
      <c r="J55" s="5">
        <v>25357</v>
      </c>
      <c r="K55" s="5">
        <v>423853</v>
      </c>
      <c r="L55" s="5">
        <v>303394</v>
      </c>
      <c r="M55" s="5">
        <v>35421</v>
      </c>
      <c r="N55" s="5">
        <v>0</v>
      </c>
      <c r="O55" s="5">
        <v>55323</v>
      </c>
      <c r="P55" s="5">
        <v>29715</v>
      </c>
      <c r="Q55">
        <v>1</v>
      </c>
      <c r="R55" t="s">
        <v>41</v>
      </c>
    </row>
    <row r="56" spans="1:18">
      <c r="A56" t="s">
        <v>104</v>
      </c>
      <c r="B56" s="4">
        <v>46168</v>
      </c>
      <c r="C56" t="s">
        <v>36</v>
      </c>
      <c r="D56" t="s">
        <v>37</v>
      </c>
      <c r="E56" t="s">
        <v>38</v>
      </c>
      <c r="F56" t="s">
        <v>51</v>
      </c>
      <c r="G56" t="s">
        <v>43</v>
      </c>
      <c r="H56">
        <v>5</v>
      </c>
      <c r="I56" s="5">
        <v>379459</v>
      </c>
      <c r="J56" s="5">
        <v>40756</v>
      </c>
      <c r="K56" s="5">
        <v>338703</v>
      </c>
      <c r="L56" s="5">
        <v>227022</v>
      </c>
      <c r="M56" s="5">
        <v>19925</v>
      </c>
      <c r="N56" s="5">
        <v>0</v>
      </c>
      <c r="O56" s="5">
        <v>73166</v>
      </c>
      <c r="P56" s="5">
        <v>18590</v>
      </c>
      <c r="Q56">
        <v>4</v>
      </c>
      <c r="R56" t="s">
        <v>41</v>
      </c>
    </row>
    <row r="57" spans="1:18">
      <c r="A57" t="s">
        <v>105</v>
      </c>
      <c r="B57" s="4">
        <v>46200</v>
      </c>
      <c r="C57" t="s">
        <v>36</v>
      </c>
      <c r="D57" t="s">
        <v>37</v>
      </c>
      <c r="E57" t="s">
        <v>38</v>
      </c>
      <c r="F57" t="s">
        <v>46</v>
      </c>
      <c r="G57" t="s">
        <v>40</v>
      </c>
      <c r="H57">
        <v>2</v>
      </c>
      <c r="I57" s="5">
        <v>363921</v>
      </c>
      <c r="J57" s="5">
        <v>36696</v>
      </c>
      <c r="K57" s="5">
        <v>327225</v>
      </c>
      <c r="L57" s="5">
        <v>216763</v>
      </c>
      <c r="M57" s="5">
        <v>26288</v>
      </c>
      <c r="N57" s="5">
        <v>0</v>
      </c>
      <c r="O57" s="5">
        <v>68500</v>
      </c>
      <c r="P57" s="5">
        <v>15674</v>
      </c>
      <c r="Q57">
        <v>2</v>
      </c>
      <c r="R57" t="s">
        <v>41</v>
      </c>
    </row>
    <row r="58" spans="1:18">
      <c r="A58" t="s">
        <v>106</v>
      </c>
      <c r="B58" s="4">
        <v>46149</v>
      </c>
      <c r="C58" t="s">
        <v>36</v>
      </c>
      <c r="D58" t="s">
        <v>37</v>
      </c>
      <c r="E58" t="s">
        <v>38</v>
      </c>
      <c r="F58" t="s">
        <v>61</v>
      </c>
      <c r="G58" t="s">
        <v>43</v>
      </c>
      <c r="H58">
        <v>3</v>
      </c>
      <c r="I58" s="5">
        <v>216163</v>
      </c>
      <c r="J58" s="5">
        <v>18158</v>
      </c>
      <c r="K58" s="5">
        <v>198005</v>
      </c>
      <c r="L58" s="5">
        <v>114481</v>
      </c>
      <c r="M58" s="5">
        <v>9832</v>
      </c>
      <c r="N58" s="5">
        <v>0</v>
      </c>
      <c r="O58" s="5">
        <v>38539</v>
      </c>
      <c r="P58" s="5">
        <v>35153</v>
      </c>
      <c r="Q58">
        <v>3</v>
      </c>
      <c r="R58" t="s">
        <v>41</v>
      </c>
    </row>
    <row r="59" spans="1:18">
      <c r="A59" t="s">
        <v>107</v>
      </c>
      <c r="B59" s="4">
        <v>46151</v>
      </c>
      <c r="C59" t="s">
        <v>36</v>
      </c>
      <c r="D59" t="s">
        <v>37</v>
      </c>
      <c r="E59" t="s">
        <v>38</v>
      </c>
      <c r="F59" t="s">
        <v>46</v>
      </c>
      <c r="G59" t="s">
        <v>43</v>
      </c>
      <c r="H59">
        <v>1</v>
      </c>
      <c r="I59" s="5">
        <v>421376</v>
      </c>
      <c r="J59" s="5">
        <v>58749</v>
      </c>
      <c r="K59" s="5">
        <v>362627</v>
      </c>
      <c r="L59" s="5">
        <v>263519</v>
      </c>
      <c r="M59" s="5">
        <v>30117</v>
      </c>
      <c r="N59" s="5">
        <v>0</v>
      </c>
      <c r="O59" s="5">
        <v>50123</v>
      </c>
      <c r="P59" s="5">
        <v>18868</v>
      </c>
      <c r="Q59">
        <v>3</v>
      </c>
      <c r="R59" t="s">
        <v>41</v>
      </c>
    </row>
    <row r="60" spans="1:18">
      <c r="A60" t="s">
        <v>108</v>
      </c>
      <c r="B60" s="4">
        <v>46197</v>
      </c>
      <c r="C60" t="s">
        <v>36</v>
      </c>
      <c r="D60" t="s">
        <v>37</v>
      </c>
      <c r="E60" t="s">
        <v>55</v>
      </c>
      <c r="F60" t="s">
        <v>39</v>
      </c>
      <c r="G60" t="s">
        <v>40</v>
      </c>
      <c r="H60">
        <v>5</v>
      </c>
      <c r="I60" s="5">
        <v>220821</v>
      </c>
      <c r="J60" s="5">
        <v>25099</v>
      </c>
      <c r="K60" s="5">
        <v>195722</v>
      </c>
      <c r="L60" s="5">
        <v>122965</v>
      </c>
      <c r="M60" s="5">
        <v>16755</v>
      </c>
      <c r="N60" s="5">
        <v>0</v>
      </c>
      <c r="O60" s="5">
        <v>28327</v>
      </c>
      <c r="P60" s="5">
        <v>27675</v>
      </c>
      <c r="Q60">
        <v>5</v>
      </c>
      <c r="R60" t="s">
        <v>41</v>
      </c>
    </row>
    <row r="61" spans="1:18">
      <c r="A61" t="s">
        <v>109</v>
      </c>
      <c r="B61" s="4">
        <v>46149</v>
      </c>
      <c r="C61" t="s">
        <v>36</v>
      </c>
      <c r="D61" t="s">
        <v>37</v>
      </c>
      <c r="E61" t="s">
        <v>38</v>
      </c>
      <c r="F61" t="s">
        <v>49</v>
      </c>
      <c r="G61" t="s">
        <v>43</v>
      </c>
      <c r="H61">
        <v>2</v>
      </c>
      <c r="I61" s="5">
        <v>305322</v>
      </c>
      <c r="J61" s="5">
        <v>45858</v>
      </c>
      <c r="K61" s="5">
        <v>259464</v>
      </c>
      <c r="L61" s="5">
        <v>177444</v>
      </c>
      <c r="M61" s="5">
        <v>22289</v>
      </c>
      <c r="N61" s="5">
        <v>0</v>
      </c>
      <c r="O61" s="5">
        <v>31428</v>
      </c>
      <c r="P61" s="5">
        <v>28303</v>
      </c>
      <c r="Q61">
        <v>1</v>
      </c>
      <c r="R61" t="s">
        <v>41</v>
      </c>
    </row>
    <row r="62" spans="1:18">
      <c r="A62" t="s">
        <v>110</v>
      </c>
      <c r="B62" s="4">
        <v>46130</v>
      </c>
      <c r="C62" t="s">
        <v>36</v>
      </c>
      <c r="D62" t="s">
        <v>37</v>
      </c>
      <c r="E62" t="s">
        <v>59</v>
      </c>
      <c r="F62" t="s">
        <v>61</v>
      </c>
      <c r="G62" t="s">
        <v>43</v>
      </c>
      <c r="H62">
        <v>4</v>
      </c>
      <c r="I62" s="5">
        <v>476698</v>
      </c>
      <c r="J62" s="5">
        <v>37247</v>
      </c>
      <c r="K62" s="5">
        <v>439451</v>
      </c>
      <c r="L62" s="5">
        <v>308410</v>
      </c>
      <c r="M62" s="5">
        <v>36974</v>
      </c>
      <c r="N62" s="5">
        <v>0</v>
      </c>
      <c r="O62" s="5">
        <v>70825</v>
      </c>
      <c r="P62" s="5">
        <v>23242</v>
      </c>
      <c r="Q62">
        <v>2</v>
      </c>
      <c r="R62" t="s">
        <v>41</v>
      </c>
    </row>
    <row r="63" spans="1:18">
      <c r="A63" t="s">
        <v>111</v>
      </c>
      <c r="B63" s="4">
        <v>46166</v>
      </c>
      <c r="C63" t="s">
        <v>36</v>
      </c>
      <c r="D63" t="s">
        <v>37</v>
      </c>
      <c r="E63" t="s">
        <v>38</v>
      </c>
      <c r="F63" t="s">
        <v>51</v>
      </c>
      <c r="G63" t="s">
        <v>40</v>
      </c>
      <c r="H63">
        <v>5</v>
      </c>
      <c r="I63" s="5">
        <v>392278</v>
      </c>
      <c r="J63" s="5">
        <v>55946</v>
      </c>
      <c r="K63" s="5">
        <v>336332</v>
      </c>
      <c r="L63" s="5">
        <v>213727</v>
      </c>
      <c r="M63" s="5">
        <v>29776</v>
      </c>
      <c r="N63" s="5">
        <v>0</v>
      </c>
      <c r="O63" s="5">
        <v>65429</v>
      </c>
      <c r="P63" s="5">
        <v>27400</v>
      </c>
      <c r="Q63">
        <v>3</v>
      </c>
      <c r="R63" t="s">
        <v>41</v>
      </c>
    </row>
    <row r="64" spans="1:18">
      <c r="A64" t="s">
        <v>112</v>
      </c>
      <c r="B64" s="4">
        <v>46174</v>
      </c>
      <c r="C64" t="s">
        <v>36</v>
      </c>
      <c r="D64" t="s">
        <v>37</v>
      </c>
      <c r="E64" t="s">
        <v>45</v>
      </c>
      <c r="F64" t="s">
        <v>39</v>
      </c>
      <c r="G64" t="s">
        <v>40</v>
      </c>
      <c r="H64">
        <v>4</v>
      </c>
      <c r="I64" s="5">
        <v>360013</v>
      </c>
      <c r="J64" s="5">
        <v>48183</v>
      </c>
      <c r="K64" s="5">
        <v>311830</v>
      </c>
      <c r="L64" s="5">
        <v>207373</v>
      </c>
      <c r="M64" s="5">
        <v>20275</v>
      </c>
      <c r="N64" s="5">
        <v>0</v>
      </c>
      <c r="O64" s="5">
        <v>58321</v>
      </c>
      <c r="P64" s="5">
        <v>25861</v>
      </c>
      <c r="Q64">
        <v>2</v>
      </c>
      <c r="R64" t="s">
        <v>41</v>
      </c>
    </row>
    <row r="65" spans="1:18">
      <c r="A65" t="s">
        <v>113</v>
      </c>
      <c r="B65" s="4">
        <v>46163</v>
      </c>
      <c r="C65" t="s">
        <v>36</v>
      </c>
      <c r="D65" t="s">
        <v>37</v>
      </c>
      <c r="E65" t="s">
        <v>45</v>
      </c>
      <c r="F65" t="s">
        <v>61</v>
      </c>
      <c r="G65" t="s">
        <v>43</v>
      </c>
      <c r="H65">
        <v>1</v>
      </c>
      <c r="I65" s="5">
        <v>401144</v>
      </c>
      <c r="J65" s="5">
        <v>51650</v>
      </c>
      <c r="K65" s="5">
        <v>349494</v>
      </c>
      <c r="L65" s="5">
        <v>240233</v>
      </c>
      <c r="M65" s="5">
        <v>29569</v>
      </c>
      <c r="N65" s="5">
        <v>0</v>
      </c>
      <c r="O65" s="5">
        <v>43416</v>
      </c>
      <c r="P65" s="5">
        <v>36276</v>
      </c>
      <c r="Q65">
        <v>3</v>
      </c>
      <c r="R65" t="s">
        <v>41</v>
      </c>
    </row>
    <row r="66" spans="1:18">
      <c r="A66" t="s">
        <v>114</v>
      </c>
      <c r="B66" s="4">
        <v>46161</v>
      </c>
      <c r="C66" t="s">
        <v>36</v>
      </c>
      <c r="D66" t="s">
        <v>37</v>
      </c>
      <c r="E66" t="s">
        <v>45</v>
      </c>
      <c r="F66" t="s">
        <v>61</v>
      </c>
      <c r="G66" t="s">
        <v>40</v>
      </c>
      <c r="H66">
        <v>4</v>
      </c>
      <c r="I66" s="5">
        <v>444331</v>
      </c>
      <c r="J66" s="5">
        <v>48152</v>
      </c>
      <c r="K66" s="5">
        <v>396179</v>
      </c>
      <c r="L66" s="5">
        <v>269844</v>
      </c>
      <c r="M66" s="5">
        <v>34038</v>
      </c>
      <c r="N66" s="5">
        <v>0</v>
      </c>
      <c r="O66" s="5">
        <v>74490</v>
      </c>
      <c r="P66" s="5">
        <v>17807</v>
      </c>
      <c r="Q66">
        <v>4</v>
      </c>
      <c r="R66" t="s">
        <v>41</v>
      </c>
    </row>
    <row r="67" spans="1:18">
      <c r="A67" t="s">
        <v>115</v>
      </c>
      <c r="B67" s="4">
        <v>46121</v>
      </c>
      <c r="C67" t="s">
        <v>36</v>
      </c>
      <c r="D67" t="s">
        <v>37</v>
      </c>
      <c r="E67" t="s">
        <v>55</v>
      </c>
      <c r="F67" t="s">
        <v>39</v>
      </c>
      <c r="G67" t="s">
        <v>43</v>
      </c>
      <c r="H67">
        <v>1</v>
      </c>
      <c r="I67" s="5">
        <v>460094</v>
      </c>
      <c r="J67" s="5">
        <v>83638</v>
      </c>
      <c r="K67" s="5">
        <v>376456</v>
      </c>
      <c r="L67" s="5">
        <v>252546</v>
      </c>
      <c r="M67" s="5">
        <v>33398</v>
      </c>
      <c r="N67" s="5">
        <v>0</v>
      </c>
      <c r="O67" s="5">
        <v>59761</v>
      </c>
      <c r="P67" s="5">
        <v>30751</v>
      </c>
      <c r="Q67">
        <v>4</v>
      </c>
      <c r="R67" t="s">
        <v>41</v>
      </c>
    </row>
    <row r="68" spans="1:18">
      <c r="A68" t="s">
        <v>116</v>
      </c>
      <c r="B68" s="4">
        <v>46130</v>
      </c>
      <c r="C68" t="s">
        <v>36</v>
      </c>
      <c r="D68" t="s">
        <v>37</v>
      </c>
      <c r="E68" t="s">
        <v>55</v>
      </c>
      <c r="F68" t="s">
        <v>46</v>
      </c>
      <c r="G68" t="s">
        <v>43</v>
      </c>
      <c r="H68">
        <v>6</v>
      </c>
      <c r="I68" s="5">
        <v>257297</v>
      </c>
      <c r="J68" s="5">
        <v>42207</v>
      </c>
      <c r="K68" s="5">
        <v>215090</v>
      </c>
      <c r="L68" s="5">
        <v>138940</v>
      </c>
      <c r="M68" s="5">
        <v>15655</v>
      </c>
      <c r="N68" s="5">
        <v>12863</v>
      </c>
      <c r="O68" s="5">
        <v>28954</v>
      </c>
      <c r="P68" s="5">
        <v>18678</v>
      </c>
      <c r="Q68">
        <v>6</v>
      </c>
      <c r="R68" t="s">
        <v>53</v>
      </c>
    </row>
    <row r="69" spans="1:18">
      <c r="A69" t="s">
        <v>117</v>
      </c>
      <c r="B69" s="4">
        <v>46166</v>
      </c>
      <c r="C69" t="s">
        <v>36</v>
      </c>
      <c r="D69" t="s">
        <v>37</v>
      </c>
      <c r="E69" t="s">
        <v>59</v>
      </c>
      <c r="F69" t="s">
        <v>46</v>
      </c>
      <c r="G69" t="s">
        <v>43</v>
      </c>
      <c r="H69">
        <v>3</v>
      </c>
      <c r="I69" s="5">
        <v>187184</v>
      </c>
      <c r="J69" s="5">
        <v>30200</v>
      </c>
      <c r="K69" s="5">
        <v>156984</v>
      </c>
      <c r="L69" s="5">
        <v>97878</v>
      </c>
      <c r="M69" s="5">
        <v>11216</v>
      </c>
      <c r="N69" s="5">
        <v>0</v>
      </c>
      <c r="O69" s="5">
        <v>25240</v>
      </c>
      <c r="P69" s="5">
        <v>22650</v>
      </c>
      <c r="Q69">
        <v>3</v>
      </c>
      <c r="R69" t="s">
        <v>41</v>
      </c>
    </row>
    <row r="70" spans="1:18">
      <c r="A70" t="s">
        <v>118</v>
      </c>
      <c r="B70" s="4">
        <v>46125</v>
      </c>
      <c r="C70" t="s">
        <v>36</v>
      </c>
      <c r="D70" t="s">
        <v>37</v>
      </c>
      <c r="E70" t="s">
        <v>45</v>
      </c>
      <c r="F70" t="s">
        <v>49</v>
      </c>
      <c r="G70" t="s">
        <v>43</v>
      </c>
      <c r="H70">
        <v>1</v>
      </c>
      <c r="I70" s="5">
        <v>280714</v>
      </c>
      <c r="J70" s="5">
        <v>40133</v>
      </c>
      <c r="K70" s="5">
        <v>240581</v>
      </c>
      <c r="L70" s="5">
        <v>151867</v>
      </c>
      <c r="M70" s="5">
        <v>20678</v>
      </c>
      <c r="N70" s="5">
        <v>0</v>
      </c>
      <c r="O70" s="5">
        <v>38410</v>
      </c>
      <c r="P70" s="5">
        <v>29626</v>
      </c>
      <c r="Q70">
        <v>3</v>
      </c>
      <c r="R70" t="s">
        <v>41</v>
      </c>
    </row>
    <row r="71" spans="1:18">
      <c r="A71" t="s">
        <v>119</v>
      </c>
      <c r="B71" s="4">
        <v>46197</v>
      </c>
      <c r="C71" t="s">
        <v>36</v>
      </c>
      <c r="D71" t="s">
        <v>37</v>
      </c>
      <c r="E71" t="s">
        <v>38</v>
      </c>
      <c r="F71" t="s">
        <v>49</v>
      </c>
      <c r="G71" t="s">
        <v>40</v>
      </c>
      <c r="H71">
        <v>1</v>
      </c>
      <c r="I71" s="5">
        <v>249396</v>
      </c>
      <c r="J71" s="5">
        <v>22891</v>
      </c>
      <c r="K71" s="5">
        <v>226505</v>
      </c>
      <c r="L71" s="5">
        <v>142536</v>
      </c>
      <c r="M71" s="5">
        <v>19373</v>
      </c>
      <c r="N71" s="5">
        <v>0</v>
      </c>
      <c r="O71" s="5">
        <v>44368</v>
      </c>
      <c r="P71" s="5">
        <v>20228</v>
      </c>
      <c r="Q71">
        <v>4</v>
      </c>
      <c r="R71" t="s">
        <v>41</v>
      </c>
    </row>
    <row r="72" spans="1:18">
      <c r="A72" t="s">
        <v>120</v>
      </c>
      <c r="B72" s="4">
        <v>46139</v>
      </c>
      <c r="C72" t="s">
        <v>36</v>
      </c>
      <c r="D72" t="s">
        <v>37</v>
      </c>
      <c r="E72" t="s">
        <v>38</v>
      </c>
      <c r="F72" t="s">
        <v>51</v>
      </c>
      <c r="G72" t="s">
        <v>43</v>
      </c>
      <c r="H72">
        <v>2</v>
      </c>
      <c r="I72" s="5">
        <v>237283</v>
      </c>
      <c r="J72" s="5">
        <v>27523</v>
      </c>
      <c r="K72" s="5">
        <v>209760</v>
      </c>
      <c r="L72" s="5">
        <v>130746</v>
      </c>
      <c r="M72" s="5">
        <v>15618</v>
      </c>
      <c r="N72" s="5">
        <v>11462</v>
      </c>
      <c r="O72" s="5">
        <v>31297</v>
      </c>
      <c r="P72" s="5">
        <v>20637</v>
      </c>
      <c r="Q72">
        <v>2</v>
      </c>
      <c r="R72" t="s">
        <v>53</v>
      </c>
    </row>
    <row r="73" spans="1:18">
      <c r="A73" t="s">
        <v>121</v>
      </c>
      <c r="B73" s="4">
        <v>46182</v>
      </c>
      <c r="C73" t="s">
        <v>36</v>
      </c>
      <c r="D73" t="s">
        <v>37</v>
      </c>
      <c r="E73" t="s">
        <v>45</v>
      </c>
      <c r="F73" t="s">
        <v>51</v>
      </c>
      <c r="G73" t="s">
        <v>40</v>
      </c>
      <c r="H73">
        <v>6</v>
      </c>
      <c r="I73" s="5">
        <v>484481</v>
      </c>
      <c r="J73" s="5">
        <v>58782</v>
      </c>
      <c r="K73" s="5">
        <v>425699</v>
      </c>
      <c r="L73" s="5">
        <v>277784</v>
      </c>
      <c r="M73" s="5">
        <v>39152</v>
      </c>
      <c r="N73" s="5">
        <v>0</v>
      </c>
      <c r="O73" s="5">
        <v>77110</v>
      </c>
      <c r="P73" s="5">
        <v>31653</v>
      </c>
      <c r="Q73">
        <v>1</v>
      </c>
      <c r="R73" t="s">
        <v>41</v>
      </c>
    </row>
    <row r="74" spans="1:18">
      <c r="A74" t="s">
        <v>122</v>
      </c>
      <c r="B74" s="4">
        <v>46115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>
        <v>2</v>
      </c>
      <c r="I74" s="5">
        <v>462719</v>
      </c>
      <c r="J74" s="5">
        <v>56652</v>
      </c>
      <c r="K74" s="5">
        <v>406067</v>
      </c>
      <c r="L74" s="5">
        <v>278906</v>
      </c>
      <c r="M74" s="5">
        <v>35845</v>
      </c>
      <c r="N74" s="5">
        <v>0</v>
      </c>
      <c r="O74" s="5">
        <v>76839</v>
      </c>
      <c r="P74" s="5">
        <v>14477</v>
      </c>
      <c r="Q74">
        <v>3</v>
      </c>
      <c r="R74" t="s">
        <v>41</v>
      </c>
    </row>
    <row r="75" spans="1:18">
      <c r="A75" t="s">
        <v>123</v>
      </c>
      <c r="B75" s="4">
        <v>46178</v>
      </c>
      <c r="C75" t="s">
        <v>36</v>
      </c>
      <c r="D75" t="s">
        <v>37</v>
      </c>
      <c r="E75" t="s">
        <v>59</v>
      </c>
      <c r="F75" t="s">
        <v>46</v>
      </c>
      <c r="G75" t="s">
        <v>40</v>
      </c>
      <c r="H75">
        <v>5</v>
      </c>
      <c r="I75" s="5">
        <v>269386</v>
      </c>
      <c r="J75" s="5">
        <v>29033</v>
      </c>
      <c r="K75" s="5">
        <v>240353</v>
      </c>
      <c r="L75" s="5">
        <v>161467</v>
      </c>
      <c r="M75" s="5">
        <v>17084</v>
      </c>
      <c r="N75" s="5">
        <v>0</v>
      </c>
      <c r="O75" s="5">
        <v>37572</v>
      </c>
      <c r="P75" s="5">
        <v>24230</v>
      </c>
      <c r="Q75">
        <v>1</v>
      </c>
      <c r="R75" t="s">
        <v>41</v>
      </c>
    </row>
    <row r="76" spans="1:18">
      <c r="A76" t="s">
        <v>124</v>
      </c>
      <c r="B76" s="4">
        <v>46116</v>
      </c>
      <c r="C76" t="s">
        <v>36</v>
      </c>
      <c r="D76" t="s">
        <v>37</v>
      </c>
      <c r="E76" t="s">
        <v>59</v>
      </c>
      <c r="F76" t="s">
        <v>46</v>
      </c>
      <c r="G76" t="s">
        <v>43</v>
      </c>
      <c r="H76">
        <v>4</v>
      </c>
      <c r="I76" s="5">
        <v>410186</v>
      </c>
      <c r="J76" s="5">
        <v>69299</v>
      </c>
      <c r="K76" s="5">
        <v>340887</v>
      </c>
      <c r="L76" s="5">
        <v>229681</v>
      </c>
      <c r="M76" s="5">
        <v>24499</v>
      </c>
      <c r="N76" s="5">
        <v>0</v>
      </c>
      <c r="O76" s="5">
        <v>48819</v>
      </c>
      <c r="P76" s="5">
        <v>37888</v>
      </c>
      <c r="Q76">
        <v>4</v>
      </c>
      <c r="R76" t="s">
        <v>41</v>
      </c>
    </row>
    <row r="77" spans="1:18">
      <c r="A77" t="s">
        <v>125</v>
      </c>
      <c r="B77" s="4">
        <v>46121</v>
      </c>
      <c r="C77" t="s">
        <v>36</v>
      </c>
      <c r="D77" t="s">
        <v>37</v>
      </c>
      <c r="E77" t="s">
        <v>38</v>
      </c>
      <c r="F77" t="s">
        <v>39</v>
      </c>
      <c r="G77" t="s">
        <v>43</v>
      </c>
      <c r="H77">
        <v>4</v>
      </c>
      <c r="I77" s="5">
        <v>291690</v>
      </c>
      <c r="J77" s="5">
        <v>27454</v>
      </c>
      <c r="K77" s="5">
        <v>264236</v>
      </c>
      <c r="L77" s="5">
        <v>172493</v>
      </c>
      <c r="M77" s="5">
        <v>14249</v>
      </c>
      <c r="N77" s="5">
        <v>12301</v>
      </c>
      <c r="O77" s="5">
        <v>27364</v>
      </c>
      <c r="P77" s="5">
        <v>37829</v>
      </c>
      <c r="Q77">
        <v>2</v>
      </c>
      <c r="R77" t="s">
        <v>53</v>
      </c>
    </row>
    <row r="78" spans="1:18">
      <c r="A78" t="s">
        <v>126</v>
      </c>
      <c r="B78" s="4">
        <v>46196</v>
      </c>
      <c r="C78" t="s">
        <v>36</v>
      </c>
      <c r="D78" t="s">
        <v>37</v>
      </c>
      <c r="E78" t="s">
        <v>38</v>
      </c>
      <c r="F78" t="s">
        <v>46</v>
      </c>
      <c r="G78" t="s">
        <v>43</v>
      </c>
      <c r="H78">
        <v>2</v>
      </c>
      <c r="I78" s="5">
        <v>492727</v>
      </c>
      <c r="J78" s="5">
        <v>75396</v>
      </c>
      <c r="K78" s="5">
        <v>417331</v>
      </c>
      <c r="L78" s="5">
        <v>290378</v>
      </c>
      <c r="M78" s="5">
        <v>33925</v>
      </c>
      <c r="N78" s="5">
        <v>23393</v>
      </c>
      <c r="O78" s="5">
        <v>55140</v>
      </c>
      <c r="P78" s="5">
        <v>14495</v>
      </c>
      <c r="Q78">
        <v>3</v>
      </c>
      <c r="R78" t="s">
        <v>53</v>
      </c>
    </row>
    <row r="79" spans="1:18">
      <c r="A79" t="s">
        <v>127</v>
      </c>
      <c r="B79" s="4">
        <v>46153</v>
      </c>
      <c r="C79" t="s">
        <v>36</v>
      </c>
      <c r="D79" t="s">
        <v>37</v>
      </c>
      <c r="E79" t="s">
        <v>45</v>
      </c>
      <c r="F79" t="s">
        <v>39</v>
      </c>
      <c r="G79" t="s">
        <v>40</v>
      </c>
      <c r="H79">
        <v>6</v>
      </c>
      <c r="I79" s="5">
        <v>298966</v>
      </c>
      <c r="J79" s="5">
        <v>16078</v>
      </c>
      <c r="K79" s="5">
        <v>282888</v>
      </c>
      <c r="L79" s="5">
        <v>189606</v>
      </c>
      <c r="M79" s="5">
        <v>23621</v>
      </c>
      <c r="N79" s="5">
        <v>0</v>
      </c>
      <c r="O79" s="5">
        <v>51629</v>
      </c>
      <c r="P79" s="5">
        <v>18032</v>
      </c>
      <c r="Q79">
        <v>5</v>
      </c>
      <c r="R79" t="s">
        <v>41</v>
      </c>
    </row>
    <row r="80" spans="1:18">
      <c r="A80" t="s">
        <v>128</v>
      </c>
      <c r="B80" s="4">
        <v>46129</v>
      </c>
      <c r="C80" t="s">
        <v>36</v>
      </c>
      <c r="D80" t="s">
        <v>37</v>
      </c>
      <c r="E80" t="s">
        <v>59</v>
      </c>
      <c r="F80" t="s">
        <v>49</v>
      </c>
      <c r="G80" t="s">
        <v>43</v>
      </c>
      <c r="H80">
        <v>6</v>
      </c>
      <c r="I80" s="5">
        <v>256885</v>
      </c>
      <c r="J80" s="5">
        <v>31224</v>
      </c>
      <c r="K80" s="5">
        <v>225661</v>
      </c>
      <c r="L80" s="5">
        <v>155737</v>
      </c>
      <c r="M80" s="5">
        <v>13148</v>
      </c>
      <c r="N80" s="5">
        <v>12286</v>
      </c>
      <c r="O80" s="5">
        <v>25142</v>
      </c>
      <c r="P80" s="5">
        <v>19348</v>
      </c>
      <c r="Q80">
        <v>3</v>
      </c>
      <c r="R80" t="s">
        <v>53</v>
      </c>
    </row>
    <row r="81" spans="1:18">
      <c r="A81" t="s">
        <v>129</v>
      </c>
      <c r="B81" s="4">
        <v>46119</v>
      </c>
      <c r="C81" t="s">
        <v>36</v>
      </c>
      <c r="D81" t="s">
        <v>37</v>
      </c>
      <c r="E81" t="s">
        <v>45</v>
      </c>
      <c r="F81" t="s">
        <v>49</v>
      </c>
      <c r="G81" t="s">
        <v>43</v>
      </c>
      <c r="H81">
        <v>3</v>
      </c>
      <c r="I81" s="5">
        <v>254219</v>
      </c>
      <c r="J81" s="5">
        <v>33943</v>
      </c>
      <c r="K81" s="5">
        <v>220276</v>
      </c>
      <c r="L81" s="5">
        <v>136164</v>
      </c>
      <c r="M81" s="5">
        <v>16565</v>
      </c>
      <c r="N81" s="5">
        <v>0</v>
      </c>
      <c r="O81" s="5">
        <v>31307</v>
      </c>
      <c r="P81" s="5">
        <v>36240</v>
      </c>
      <c r="Q81">
        <v>4</v>
      </c>
      <c r="R81" t="s">
        <v>41</v>
      </c>
    </row>
    <row r="82" spans="1:18">
      <c r="A82" t="s">
        <v>130</v>
      </c>
      <c r="B82" s="4">
        <v>46157</v>
      </c>
      <c r="C82" t="s">
        <v>36</v>
      </c>
      <c r="D82" t="s">
        <v>37</v>
      </c>
      <c r="E82" t="s">
        <v>45</v>
      </c>
      <c r="F82" t="s">
        <v>61</v>
      </c>
      <c r="G82" t="s">
        <v>43</v>
      </c>
      <c r="H82">
        <v>5</v>
      </c>
      <c r="I82" s="5">
        <v>365440</v>
      </c>
      <c r="J82" s="5">
        <v>52307</v>
      </c>
      <c r="K82" s="5">
        <v>313133</v>
      </c>
      <c r="L82" s="5">
        <v>193062</v>
      </c>
      <c r="M82" s="5">
        <v>22059</v>
      </c>
      <c r="N82" s="5">
        <v>0</v>
      </c>
      <c r="O82" s="5">
        <v>63097</v>
      </c>
      <c r="P82" s="5">
        <v>34915</v>
      </c>
      <c r="Q82">
        <v>4</v>
      </c>
      <c r="R82" t="s">
        <v>41</v>
      </c>
    </row>
    <row r="83" spans="1:18">
      <c r="A83" t="s">
        <v>131</v>
      </c>
      <c r="B83" s="4">
        <v>46199</v>
      </c>
      <c r="C83" t="s">
        <v>36</v>
      </c>
      <c r="D83" t="s">
        <v>37</v>
      </c>
      <c r="E83" t="s">
        <v>59</v>
      </c>
      <c r="F83" t="s">
        <v>49</v>
      </c>
      <c r="G83" t="s">
        <v>43</v>
      </c>
      <c r="H83">
        <v>1</v>
      </c>
      <c r="I83" s="5">
        <v>254424</v>
      </c>
      <c r="J83" s="5">
        <v>29394</v>
      </c>
      <c r="K83" s="5">
        <v>225030</v>
      </c>
      <c r="L83" s="5">
        <v>138905</v>
      </c>
      <c r="M83" s="5">
        <v>17246</v>
      </c>
      <c r="N83" s="5">
        <v>0</v>
      </c>
      <c r="O83" s="5">
        <v>34004</v>
      </c>
      <c r="P83" s="5">
        <v>34875</v>
      </c>
      <c r="Q83">
        <v>5</v>
      </c>
      <c r="R83" t="s">
        <v>41</v>
      </c>
    </row>
    <row r="84" spans="1:18">
      <c r="A84" t="s">
        <v>132</v>
      </c>
      <c r="B84" s="4">
        <v>46185</v>
      </c>
      <c r="C84" t="s">
        <v>36</v>
      </c>
      <c r="D84" t="s">
        <v>37</v>
      </c>
      <c r="E84" t="s">
        <v>55</v>
      </c>
      <c r="F84" t="s">
        <v>61</v>
      </c>
      <c r="G84" t="s">
        <v>40</v>
      </c>
      <c r="H84">
        <v>6</v>
      </c>
      <c r="I84" s="5">
        <v>369104</v>
      </c>
      <c r="J84" s="5">
        <v>49121</v>
      </c>
      <c r="K84" s="5">
        <v>319983</v>
      </c>
      <c r="L84" s="5">
        <v>210924</v>
      </c>
      <c r="M84" s="5">
        <v>21930</v>
      </c>
      <c r="N84" s="5">
        <v>19308</v>
      </c>
      <c r="O84" s="5">
        <v>45835</v>
      </c>
      <c r="P84" s="5">
        <v>21986</v>
      </c>
      <c r="Q84">
        <v>5</v>
      </c>
      <c r="R84" t="s">
        <v>53</v>
      </c>
    </row>
    <row r="85" spans="1:18">
      <c r="A85" t="s">
        <v>133</v>
      </c>
      <c r="B85" s="4">
        <v>46156</v>
      </c>
      <c r="C85" t="s">
        <v>36</v>
      </c>
      <c r="D85" t="s">
        <v>37</v>
      </c>
      <c r="E85" t="s">
        <v>38</v>
      </c>
      <c r="F85" t="s">
        <v>39</v>
      </c>
      <c r="G85" t="s">
        <v>43</v>
      </c>
      <c r="H85">
        <v>6</v>
      </c>
      <c r="I85" s="5">
        <v>460341</v>
      </c>
      <c r="J85" s="5">
        <v>47944</v>
      </c>
      <c r="K85" s="5">
        <v>412397</v>
      </c>
      <c r="L85" s="5">
        <v>295696</v>
      </c>
      <c r="M85" s="5">
        <v>27151</v>
      </c>
      <c r="N85" s="5">
        <v>0</v>
      </c>
      <c r="O85" s="5">
        <v>72919</v>
      </c>
      <c r="P85" s="5">
        <v>16631</v>
      </c>
      <c r="Q85">
        <v>3</v>
      </c>
      <c r="R85" t="s">
        <v>41</v>
      </c>
    </row>
    <row r="86" spans="1:18">
      <c r="A86" t="s">
        <v>134</v>
      </c>
      <c r="B86" s="4">
        <v>46192</v>
      </c>
      <c r="C86" t="s">
        <v>36</v>
      </c>
      <c r="D86" t="s">
        <v>37</v>
      </c>
      <c r="E86" t="s">
        <v>59</v>
      </c>
      <c r="F86" t="s">
        <v>61</v>
      </c>
      <c r="G86" t="s">
        <v>43</v>
      </c>
      <c r="H86">
        <v>4</v>
      </c>
      <c r="I86" s="5">
        <v>286070</v>
      </c>
      <c r="J86" s="5">
        <v>20722</v>
      </c>
      <c r="K86" s="5">
        <v>265348</v>
      </c>
      <c r="L86" s="5">
        <v>169933</v>
      </c>
      <c r="M86" s="5">
        <v>22081</v>
      </c>
      <c r="N86" s="5">
        <v>0</v>
      </c>
      <c r="O86" s="5">
        <v>39610</v>
      </c>
      <c r="P86" s="5">
        <v>33724</v>
      </c>
      <c r="Q86">
        <v>6</v>
      </c>
      <c r="R86" t="s">
        <v>41</v>
      </c>
    </row>
    <row r="87" spans="1:18">
      <c r="A87" t="s">
        <v>135</v>
      </c>
      <c r="B87" s="4">
        <v>46127</v>
      </c>
      <c r="C87" t="s">
        <v>36</v>
      </c>
      <c r="D87" t="s">
        <v>37</v>
      </c>
      <c r="E87" t="s">
        <v>45</v>
      </c>
      <c r="F87" t="s">
        <v>46</v>
      </c>
      <c r="G87" t="s">
        <v>40</v>
      </c>
      <c r="H87">
        <v>3</v>
      </c>
      <c r="I87" s="5">
        <v>232899</v>
      </c>
      <c r="J87" s="5">
        <v>20679</v>
      </c>
      <c r="K87" s="5">
        <v>212220</v>
      </c>
      <c r="L87" s="5">
        <v>130848</v>
      </c>
      <c r="M87" s="5">
        <v>12893</v>
      </c>
      <c r="N87" s="5">
        <v>0</v>
      </c>
      <c r="O87" s="5">
        <v>38048</v>
      </c>
      <c r="P87" s="5">
        <v>30431</v>
      </c>
      <c r="Q87">
        <v>2</v>
      </c>
      <c r="R87" t="s">
        <v>41</v>
      </c>
    </row>
    <row r="88" spans="1:18">
      <c r="A88" t="s">
        <v>136</v>
      </c>
      <c r="B88" s="4">
        <v>46189</v>
      </c>
      <c r="C88" t="s">
        <v>36</v>
      </c>
      <c r="D88" t="s">
        <v>37</v>
      </c>
      <c r="E88" t="s">
        <v>59</v>
      </c>
      <c r="F88" t="s">
        <v>61</v>
      </c>
      <c r="G88" t="s">
        <v>40</v>
      </c>
      <c r="H88">
        <v>3</v>
      </c>
      <c r="I88" s="5">
        <v>485266</v>
      </c>
      <c r="J88" s="5">
        <v>43451</v>
      </c>
      <c r="K88" s="5">
        <v>441815</v>
      </c>
      <c r="L88" s="5">
        <v>300939</v>
      </c>
      <c r="M88" s="5">
        <v>29926</v>
      </c>
      <c r="N88" s="5">
        <v>0</v>
      </c>
      <c r="O88" s="5">
        <v>82841</v>
      </c>
      <c r="P88" s="5">
        <v>28109</v>
      </c>
      <c r="Q88">
        <v>2</v>
      </c>
      <c r="R88" t="s">
        <v>41</v>
      </c>
    </row>
    <row r="89" spans="1:18">
      <c r="A89" t="s">
        <v>137</v>
      </c>
      <c r="B89" s="4">
        <v>46176</v>
      </c>
      <c r="C89" t="s">
        <v>36</v>
      </c>
      <c r="D89" t="s">
        <v>37</v>
      </c>
      <c r="E89" t="s">
        <v>55</v>
      </c>
      <c r="F89" t="s">
        <v>51</v>
      </c>
      <c r="G89" t="s">
        <v>40</v>
      </c>
      <c r="H89">
        <v>4</v>
      </c>
      <c r="I89" s="5">
        <v>357239</v>
      </c>
      <c r="J89" s="5">
        <v>59401</v>
      </c>
      <c r="K89" s="5">
        <v>297838</v>
      </c>
      <c r="L89" s="5">
        <v>194856</v>
      </c>
      <c r="M89" s="5">
        <v>18626</v>
      </c>
      <c r="N89" s="5">
        <v>0</v>
      </c>
      <c r="O89" s="5">
        <v>46752</v>
      </c>
      <c r="P89" s="5">
        <v>37604</v>
      </c>
      <c r="Q89">
        <v>2</v>
      </c>
      <c r="R89" t="s">
        <v>41</v>
      </c>
    </row>
    <row r="90" spans="1:18">
      <c r="A90" t="s">
        <v>138</v>
      </c>
      <c r="B90" s="4">
        <v>46163</v>
      </c>
      <c r="C90" t="s">
        <v>36</v>
      </c>
      <c r="D90" t="s">
        <v>37</v>
      </c>
      <c r="E90" t="s">
        <v>59</v>
      </c>
      <c r="F90" t="s">
        <v>46</v>
      </c>
      <c r="G90" t="s">
        <v>40</v>
      </c>
      <c r="H90">
        <v>4</v>
      </c>
      <c r="I90" s="5">
        <v>190575</v>
      </c>
      <c r="J90" s="5">
        <v>16240</v>
      </c>
      <c r="K90" s="5">
        <v>174335</v>
      </c>
      <c r="L90" s="5">
        <v>106005</v>
      </c>
      <c r="M90" s="5">
        <v>12588</v>
      </c>
      <c r="N90" s="5">
        <v>0</v>
      </c>
      <c r="O90" s="5">
        <v>26564</v>
      </c>
      <c r="P90" s="5">
        <v>29178</v>
      </c>
      <c r="Q90">
        <v>3</v>
      </c>
      <c r="R90" t="s">
        <v>41</v>
      </c>
    </row>
    <row r="91" spans="1:18">
      <c r="A91" t="s">
        <v>139</v>
      </c>
      <c r="B91" s="4">
        <v>46166</v>
      </c>
      <c r="C91" t="s">
        <v>36</v>
      </c>
      <c r="D91" t="s">
        <v>37</v>
      </c>
      <c r="E91" t="s">
        <v>45</v>
      </c>
      <c r="F91" t="s">
        <v>61</v>
      </c>
      <c r="G91" t="s">
        <v>43</v>
      </c>
      <c r="H91">
        <v>1</v>
      </c>
      <c r="I91" s="5">
        <v>194780</v>
      </c>
      <c r="J91" s="5">
        <v>33365</v>
      </c>
      <c r="K91" s="5">
        <v>161415</v>
      </c>
      <c r="L91" s="5">
        <v>108729</v>
      </c>
      <c r="M91" s="5">
        <v>12322</v>
      </c>
      <c r="N91" s="5">
        <v>0</v>
      </c>
      <c r="O91" s="5">
        <v>27524</v>
      </c>
      <c r="P91" s="5">
        <v>12840</v>
      </c>
      <c r="Q91">
        <v>2</v>
      </c>
      <c r="R91" t="s">
        <v>41</v>
      </c>
    </row>
    <row r="92" spans="1:18">
      <c r="A92" t="s">
        <v>140</v>
      </c>
      <c r="B92" s="4">
        <v>46159</v>
      </c>
      <c r="C92" t="s">
        <v>36</v>
      </c>
      <c r="D92" t="s">
        <v>37</v>
      </c>
      <c r="E92" t="s">
        <v>59</v>
      </c>
      <c r="F92" t="s">
        <v>46</v>
      </c>
      <c r="G92" t="s">
        <v>40</v>
      </c>
      <c r="H92">
        <v>2</v>
      </c>
      <c r="I92" s="5">
        <v>206981</v>
      </c>
      <c r="J92" s="5">
        <v>27117</v>
      </c>
      <c r="K92" s="5">
        <v>179864</v>
      </c>
      <c r="L92" s="5">
        <v>112160</v>
      </c>
      <c r="M92" s="5">
        <v>11490</v>
      </c>
      <c r="N92" s="5">
        <v>0</v>
      </c>
      <c r="O92" s="5">
        <v>22911</v>
      </c>
      <c r="P92" s="5">
        <v>33303</v>
      </c>
      <c r="Q92">
        <v>3</v>
      </c>
      <c r="R92" t="s">
        <v>41</v>
      </c>
    </row>
    <row r="93" spans="1:18">
      <c r="A93" t="s">
        <v>141</v>
      </c>
      <c r="B93" s="4">
        <v>46141</v>
      </c>
      <c r="C93" t="s">
        <v>36</v>
      </c>
      <c r="D93" t="s">
        <v>37</v>
      </c>
      <c r="E93" t="s">
        <v>45</v>
      </c>
      <c r="F93" t="s">
        <v>51</v>
      </c>
      <c r="G93" t="s">
        <v>40</v>
      </c>
      <c r="H93">
        <v>5</v>
      </c>
      <c r="I93" s="5">
        <v>360553</v>
      </c>
      <c r="J93" s="5">
        <v>27925</v>
      </c>
      <c r="K93" s="5">
        <v>332628</v>
      </c>
      <c r="L93" s="5">
        <v>214654</v>
      </c>
      <c r="M93" s="5">
        <v>29623</v>
      </c>
      <c r="N93" s="5">
        <v>0</v>
      </c>
      <c r="O93" s="5">
        <v>68139</v>
      </c>
      <c r="P93" s="5">
        <v>20212</v>
      </c>
      <c r="Q93">
        <v>4</v>
      </c>
      <c r="R93" t="s">
        <v>41</v>
      </c>
    </row>
    <row r="94" spans="1:18">
      <c r="A94" t="s">
        <v>142</v>
      </c>
      <c r="B94" s="4">
        <v>46195</v>
      </c>
      <c r="C94" t="s">
        <v>36</v>
      </c>
      <c r="D94" t="s">
        <v>37</v>
      </c>
      <c r="E94" t="s">
        <v>38</v>
      </c>
      <c r="F94" t="s">
        <v>51</v>
      </c>
      <c r="G94" t="s">
        <v>40</v>
      </c>
      <c r="H94">
        <v>2</v>
      </c>
      <c r="I94" s="5">
        <v>414878</v>
      </c>
      <c r="J94" s="5">
        <v>33678</v>
      </c>
      <c r="K94" s="5">
        <v>381200</v>
      </c>
      <c r="L94" s="5">
        <v>245352</v>
      </c>
      <c r="M94" s="5">
        <v>32029</v>
      </c>
      <c r="N94" s="5">
        <v>0</v>
      </c>
      <c r="O94" s="5">
        <v>74403</v>
      </c>
      <c r="P94" s="5">
        <v>29416</v>
      </c>
      <c r="Q94">
        <v>2</v>
      </c>
      <c r="R94" t="s">
        <v>41</v>
      </c>
    </row>
    <row r="95" spans="1:18">
      <c r="A95" t="s">
        <v>143</v>
      </c>
      <c r="B95" s="4">
        <v>46193</v>
      </c>
      <c r="C95" t="s">
        <v>36</v>
      </c>
      <c r="D95" t="s">
        <v>37</v>
      </c>
      <c r="E95" t="s">
        <v>55</v>
      </c>
      <c r="F95" t="s">
        <v>46</v>
      </c>
      <c r="G95" t="s">
        <v>43</v>
      </c>
      <c r="H95">
        <v>6</v>
      </c>
      <c r="I95" s="5">
        <v>305411</v>
      </c>
      <c r="J95" s="5">
        <v>33348</v>
      </c>
      <c r="K95" s="5">
        <v>272063</v>
      </c>
      <c r="L95" s="5">
        <v>163504</v>
      </c>
      <c r="M95" s="5">
        <v>21297</v>
      </c>
      <c r="N95" s="5">
        <v>16038</v>
      </c>
      <c r="O95" s="5">
        <v>34841</v>
      </c>
      <c r="P95" s="5">
        <v>36383</v>
      </c>
      <c r="Q95">
        <v>4</v>
      </c>
      <c r="R95" t="s">
        <v>53</v>
      </c>
    </row>
    <row r="96" spans="1:18">
      <c r="A96" t="s">
        <v>144</v>
      </c>
      <c r="B96" s="4">
        <v>46193</v>
      </c>
      <c r="C96" t="s">
        <v>36</v>
      </c>
      <c r="D96" t="s">
        <v>37</v>
      </c>
      <c r="E96" t="s">
        <v>45</v>
      </c>
      <c r="F96" t="s">
        <v>51</v>
      </c>
      <c r="G96" t="s">
        <v>43</v>
      </c>
      <c r="H96">
        <v>1</v>
      </c>
      <c r="I96" s="5">
        <v>195618</v>
      </c>
      <c r="J96" s="5">
        <v>29362</v>
      </c>
      <c r="K96" s="5">
        <v>166256</v>
      </c>
      <c r="L96" s="5">
        <v>110737</v>
      </c>
      <c r="M96" s="5">
        <v>12765</v>
      </c>
      <c r="N96" s="5">
        <v>0</v>
      </c>
      <c r="O96" s="5">
        <v>26716</v>
      </c>
      <c r="P96" s="5">
        <v>16038</v>
      </c>
      <c r="Q96">
        <v>2</v>
      </c>
      <c r="R96" t="s">
        <v>41</v>
      </c>
    </row>
    <row r="97" spans="1:18">
      <c r="A97" t="s">
        <v>145</v>
      </c>
      <c r="B97" s="4">
        <v>46122</v>
      </c>
      <c r="C97" t="s">
        <v>36</v>
      </c>
      <c r="D97" t="s">
        <v>37</v>
      </c>
      <c r="E97" t="s">
        <v>45</v>
      </c>
      <c r="F97" t="s">
        <v>46</v>
      </c>
      <c r="G97" t="s">
        <v>43</v>
      </c>
      <c r="H97">
        <v>1</v>
      </c>
      <c r="I97" s="5">
        <v>277144</v>
      </c>
      <c r="J97" s="5">
        <v>17042</v>
      </c>
      <c r="K97" s="5">
        <v>260102</v>
      </c>
      <c r="L97" s="5">
        <v>183814</v>
      </c>
      <c r="M97" s="5">
        <v>20457</v>
      </c>
      <c r="N97" s="5">
        <v>0</v>
      </c>
      <c r="O97" s="5">
        <v>40270</v>
      </c>
      <c r="P97" s="5">
        <v>15561</v>
      </c>
      <c r="Q97">
        <v>4</v>
      </c>
      <c r="R97" t="s">
        <v>41</v>
      </c>
    </row>
    <row r="98" spans="1:18">
      <c r="A98" t="s">
        <v>146</v>
      </c>
      <c r="B98" s="4">
        <v>46191</v>
      </c>
      <c r="C98" t="s">
        <v>36</v>
      </c>
      <c r="D98" t="s">
        <v>37</v>
      </c>
      <c r="E98" t="s">
        <v>55</v>
      </c>
      <c r="F98" t="s">
        <v>46</v>
      </c>
      <c r="G98" t="s">
        <v>40</v>
      </c>
      <c r="H98">
        <v>4</v>
      </c>
      <c r="I98" s="5">
        <v>533024</v>
      </c>
      <c r="J98" s="5">
        <v>91626</v>
      </c>
      <c r="K98" s="5">
        <v>441398</v>
      </c>
      <c r="L98" s="5">
        <v>292655</v>
      </c>
      <c r="M98" s="5">
        <v>40291</v>
      </c>
      <c r="N98" s="5">
        <v>0</v>
      </c>
      <c r="O98" s="5">
        <v>93103</v>
      </c>
      <c r="P98" s="5">
        <v>15349</v>
      </c>
      <c r="Q98">
        <v>4</v>
      </c>
      <c r="R98" t="s">
        <v>41</v>
      </c>
    </row>
    <row r="99" spans="1:18">
      <c r="A99" t="s">
        <v>147</v>
      </c>
      <c r="B99" s="4">
        <v>46120</v>
      </c>
      <c r="C99" t="s">
        <v>36</v>
      </c>
      <c r="D99" t="s">
        <v>37</v>
      </c>
      <c r="E99" t="s">
        <v>55</v>
      </c>
      <c r="F99" t="s">
        <v>61</v>
      </c>
      <c r="G99" t="s">
        <v>43</v>
      </c>
      <c r="H99">
        <v>6</v>
      </c>
      <c r="I99" s="5">
        <v>356498</v>
      </c>
      <c r="J99" s="5">
        <v>52881</v>
      </c>
      <c r="K99" s="5">
        <v>303617</v>
      </c>
      <c r="L99" s="5">
        <v>193043</v>
      </c>
      <c r="M99" s="5">
        <v>23322</v>
      </c>
      <c r="N99" s="5">
        <v>0</v>
      </c>
      <c r="O99" s="5">
        <v>60621</v>
      </c>
      <c r="P99" s="5">
        <v>26631</v>
      </c>
      <c r="Q99">
        <v>2</v>
      </c>
      <c r="R99" t="s">
        <v>41</v>
      </c>
    </row>
    <row r="100" spans="1:18">
      <c r="A100" t="s">
        <v>148</v>
      </c>
      <c r="B100" s="4">
        <v>46180</v>
      </c>
      <c r="C100" t="s">
        <v>36</v>
      </c>
      <c r="D100" t="s">
        <v>37</v>
      </c>
      <c r="E100" t="s">
        <v>38</v>
      </c>
      <c r="F100" t="s">
        <v>39</v>
      </c>
      <c r="G100" t="s">
        <v>43</v>
      </c>
      <c r="H100">
        <v>3</v>
      </c>
      <c r="I100" s="5">
        <v>512729</v>
      </c>
      <c r="J100" s="5">
        <v>78720</v>
      </c>
      <c r="K100" s="5">
        <v>434009</v>
      </c>
      <c r="L100" s="5">
        <v>283306</v>
      </c>
      <c r="M100" s="5">
        <v>36600</v>
      </c>
      <c r="N100" s="5">
        <v>0</v>
      </c>
      <c r="O100" s="5">
        <v>94574</v>
      </c>
      <c r="P100" s="5">
        <v>19529</v>
      </c>
      <c r="Q100">
        <v>4</v>
      </c>
      <c r="R100" t="s">
        <v>41</v>
      </c>
    </row>
    <row r="101" spans="1:18">
      <c r="A101" t="s">
        <v>149</v>
      </c>
      <c r="B101" s="4">
        <v>46155</v>
      </c>
      <c r="C101" t="s">
        <v>36</v>
      </c>
      <c r="D101" t="s">
        <v>37</v>
      </c>
      <c r="E101" t="s">
        <v>59</v>
      </c>
      <c r="F101" t="s">
        <v>39</v>
      </c>
      <c r="G101" t="s">
        <v>40</v>
      </c>
      <c r="H101">
        <v>5</v>
      </c>
      <c r="I101" s="5">
        <v>428959</v>
      </c>
      <c r="J101" s="5">
        <v>27491</v>
      </c>
      <c r="K101" s="5">
        <v>401468</v>
      </c>
      <c r="L101" s="5">
        <v>276825</v>
      </c>
      <c r="M101" s="5">
        <v>23194</v>
      </c>
      <c r="N101" s="5">
        <v>0</v>
      </c>
      <c r="O101" s="5">
        <v>73514</v>
      </c>
      <c r="P101" s="5">
        <v>27935</v>
      </c>
      <c r="Q101">
        <v>5</v>
      </c>
      <c r="R101" t="s">
        <v>41</v>
      </c>
    </row>
    <row r="102" spans="1:18">
      <c r="A102" t="s">
        <v>150</v>
      </c>
      <c r="B102" s="4">
        <v>46132</v>
      </c>
      <c r="C102" t="s">
        <v>36</v>
      </c>
      <c r="D102" t="s">
        <v>37</v>
      </c>
      <c r="E102" t="s">
        <v>45</v>
      </c>
      <c r="F102" t="s">
        <v>61</v>
      </c>
      <c r="G102" t="s">
        <v>40</v>
      </c>
      <c r="H102">
        <v>3</v>
      </c>
      <c r="I102" s="5">
        <v>167213</v>
      </c>
      <c r="J102" s="5">
        <v>16312</v>
      </c>
      <c r="K102" s="5">
        <v>150901</v>
      </c>
      <c r="L102" s="5">
        <v>89953</v>
      </c>
      <c r="M102" s="5">
        <v>10413</v>
      </c>
      <c r="N102" s="5">
        <v>0</v>
      </c>
      <c r="O102" s="5">
        <v>20355</v>
      </c>
      <c r="P102" s="5">
        <v>30180</v>
      </c>
      <c r="Q102">
        <v>2</v>
      </c>
      <c r="R102" t="s">
        <v>41</v>
      </c>
    </row>
    <row r="103" spans="1:18">
      <c r="A103" t="s">
        <v>151</v>
      </c>
      <c r="B103" s="4">
        <v>46123</v>
      </c>
      <c r="C103" t="s">
        <v>36</v>
      </c>
      <c r="D103" t="s">
        <v>37</v>
      </c>
      <c r="E103" t="s">
        <v>45</v>
      </c>
      <c r="F103" t="s">
        <v>49</v>
      </c>
      <c r="G103" t="s">
        <v>43</v>
      </c>
      <c r="H103">
        <v>6</v>
      </c>
      <c r="I103" s="5">
        <v>396248</v>
      </c>
      <c r="J103" s="5">
        <v>36101</v>
      </c>
      <c r="K103" s="5">
        <v>360147</v>
      </c>
      <c r="L103" s="5">
        <v>253204</v>
      </c>
      <c r="M103" s="5">
        <v>22307</v>
      </c>
      <c r="N103" s="5">
        <v>0</v>
      </c>
      <c r="O103" s="5">
        <v>66846</v>
      </c>
      <c r="P103" s="5">
        <v>17790</v>
      </c>
      <c r="Q103">
        <v>5</v>
      </c>
      <c r="R103" t="s">
        <v>41</v>
      </c>
    </row>
    <row r="104" spans="1:18">
      <c r="A104" t="s">
        <v>152</v>
      </c>
      <c r="B104" s="4">
        <v>46200</v>
      </c>
      <c r="C104" t="s">
        <v>36</v>
      </c>
      <c r="D104" t="s">
        <v>37</v>
      </c>
      <c r="E104" t="s">
        <v>59</v>
      </c>
      <c r="F104" t="s">
        <v>46</v>
      </c>
      <c r="G104" t="s">
        <v>43</v>
      </c>
      <c r="H104">
        <v>1</v>
      </c>
      <c r="I104" s="5">
        <v>399169</v>
      </c>
      <c r="J104" s="5">
        <v>50531</v>
      </c>
      <c r="K104" s="5">
        <v>348638</v>
      </c>
      <c r="L104" s="5">
        <v>236868</v>
      </c>
      <c r="M104" s="5">
        <v>29806</v>
      </c>
      <c r="N104" s="5">
        <v>0</v>
      </c>
      <c r="O104" s="5">
        <v>53285</v>
      </c>
      <c r="P104" s="5">
        <v>28679</v>
      </c>
      <c r="Q104">
        <v>1</v>
      </c>
      <c r="R104" t="s">
        <v>41</v>
      </c>
    </row>
    <row r="105" spans="1:18">
      <c r="A105" t="s">
        <v>153</v>
      </c>
      <c r="B105" s="4">
        <v>46141</v>
      </c>
      <c r="C105" t="s">
        <v>36</v>
      </c>
      <c r="D105" t="s">
        <v>37</v>
      </c>
      <c r="E105" t="s">
        <v>38</v>
      </c>
      <c r="F105" t="s">
        <v>51</v>
      </c>
      <c r="G105" t="s">
        <v>40</v>
      </c>
      <c r="H105">
        <v>3</v>
      </c>
      <c r="I105" s="5">
        <v>338296</v>
      </c>
      <c r="J105" s="5">
        <v>32361</v>
      </c>
      <c r="K105" s="5">
        <v>305935</v>
      </c>
      <c r="L105" s="5">
        <v>200425</v>
      </c>
      <c r="M105" s="5">
        <v>28061</v>
      </c>
      <c r="N105" s="5">
        <v>0</v>
      </c>
      <c r="O105" s="5">
        <v>58132</v>
      </c>
      <c r="P105" s="5">
        <v>19317</v>
      </c>
      <c r="Q105">
        <v>4</v>
      </c>
      <c r="R105" t="s">
        <v>41</v>
      </c>
    </row>
    <row r="106" spans="1:18">
      <c r="A106" t="s">
        <v>154</v>
      </c>
      <c r="B106" s="4">
        <v>46117</v>
      </c>
      <c r="C106" t="s">
        <v>36</v>
      </c>
      <c r="D106" t="s">
        <v>37</v>
      </c>
      <c r="E106" t="s">
        <v>45</v>
      </c>
      <c r="F106" t="s">
        <v>49</v>
      </c>
      <c r="G106" t="s">
        <v>40</v>
      </c>
      <c r="H106">
        <v>5</v>
      </c>
      <c r="I106" s="5">
        <v>256804</v>
      </c>
      <c r="J106" s="5">
        <v>30569</v>
      </c>
      <c r="K106" s="5">
        <v>226235</v>
      </c>
      <c r="L106" s="5">
        <v>150804</v>
      </c>
      <c r="M106" s="5">
        <v>18796</v>
      </c>
      <c r="N106" s="5">
        <v>0</v>
      </c>
      <c r="O106" s="5">
        <v>31640</v>
      </c>
      <c r="P106" s="5">
        <v>24995</v>
      </c>
      <c r="Q106">
        <v>3</v>
      </c>
      <c r="R106" t="s">
        <v>41</v>
      </c>
    </row>
    <row r="107" spans="1:18">
      <c r="A107" t="s">
        <v>155</v>
      </c>
      <c r="B107" s="4">
        <v>46134</v>
      </c>
      <c r="C107" t="s">
        <v>36</v>
      </c>
      <c r="D107" t="s">
        <v>37</v>
      </c>
      <c r="E107" t="s">
        <v>55</v>
      </c>
      <c r="F107" t="s">
        <v>61</v>
      </c>
      <c r="G107" t="s">
        <v>43</v>
      </c>
      <c r="H107">
        <v>3</v>
      </c>
      <c r="I107" s="5">
        <v>371999</v>
      </c>
      <c r="J107" s="5">
        <v>35383</v>
      </c>
      <c r="K107" s="5">
        <v>336616</v>
      </c>
      <c r="L107" s="5">
        <v>227263</v>
      </c>
      <c r="M107" s="5">
        <v>27351</v>
      </c>
      <c r="N107" s="5">
        <v>0</v>
      </c>
      <c r="O107" s="5">
        <v>46468</v>
      </c>
      <c r="P107" s="5">
        <v>35534</v>
      </c>
      <c r="Q107">
        <v>4</v>
      </c>
      <c r="R107" t="s">
        <v>41</v>
      </c>
    </row>
    <row r="108" spans="1:18">
      <c r="A108" t="s">
        <v>156</v>
      </c>
      <c r="B108" s="4">
        <v>46170</v>
      </c>
      <c r="C108" t="s">
        <v>36</v>
      </c>
      <c r="D108" t="s">
        <v>37</v>
      </c>
      <c r="E108" t="s">
        <v>38</v>
      </c>
      <c r="F108" t="s">
        <v>49</v>
      </c>
      <c r="G108" t="s">
        <v>40</v>
      </c>
      <c r="H108">
        <v>3</v>
      </c>
      <c r="I108" s="5">
        <v>200138</v>
      </c>
      <c r="J108" s="5">
        <v>19713</v>
      </c>
      <c r="K108" s="5">
        <v>180425</v>
      </c>
      <c r="L108" s="5">
        <v>105396</v>
      </c>
      <c r="M108" s="5">
        <v>10451</v>
      </c>
      <c r="N108" s="5">
        <v>0</v>
      </c>
      <c r="O108" s="5">
        <v>30542</v>
      </c>
      <c r="P108" s="5">
        <v>34036</v>
      </c>
      <c r="Q108">
        <v>2</v>
      </c>
      <c r="R108" t="s">
        <v>41</v>
      </c>
    </row>
    <row r="109" spans="1:18">
      <c r="A109" t="s">
        <v>157</v>
      </c>
      <c r="B109" s="4">
        <v>46186</v>
      </c>
      <c r="C109" t="s">
        <v>36</v>
      </c>
      <c r="D109" t="s">
        <v>37</v>
      </c>
      <c r="E109" t="s">
        <v>55</v>
      </c>
      <c r="F109" t="s">
        <v>46</v>
      </c>
      <c r="G109" t="s">
        <v>43</v>
      </c>
      <c r="H109">
        <v>4</v>
      </c>
      <c r="I109" s="5">
        <v>332220</v>
      </c>
      <c r="J109" s="5">
        <v>56438</v>
      </c>
      <c r="K109" s="5">
        <v>275782</v>
      </c>
      <c r="L109" s="5">
        <v>198566</v>
      </c>
      <c r="M109" s="5">
        <v>17672</v>
      </c>
      <c r="N109" s="5">
        <v>0</v>
      </c>
      <c r="O109" s="5">
        <v>44568</v>
      </c>
      <c r="P109" s="5">
        <v>14976</v>
      </c>
      <c r="Q109">
        <v>3</v>
      </c>
      <c r="R109" t="s">
        <v>41</v>
      </c>
    </row>
    <row r="110" spans="1:18">
      <c r="A110" t="s">
        <v>158</v>
      </c>
      <c r="B110" s="4">
        <v>46145</v>
      </c>
      <c r="C110" t="s">
        <v>36</v>
      </c>
      <c r="D110" t="s">
        <v>37</v>
      </c>
      <c r="E110" t="s">
        <v>59</v>
      </c>
      <c r="F110" t="s">
        <v>46</v>
      </c>
      <c r="G110" t="s">
        <v>43</v>
      </c>
      <c r="H110">
        <v>5</v>
      </c>
      <c r="I110" s="5">
        <v>303714</v>
      </c>
      <c r="J110" s="5">
        <v>22339</v>
      </c>
      <c r="K110" s="5">
        <v>281375</v>
      </c>
      <c r="L110" s="5">
        <v>179218</v>
      </c>
      <c r="M110" s="5">
        <v>17542</v>
      </c>
      <c r="N110" s="5">
        <v>0</v>
      </c>
      <c r="O110" s="5">
        <v>61263</v>
      </c>
      <c r="P110" s="5">
        <v>23352</v>
      </c>
      <c r="Q110">
        <v>3</v>
      </c>
      <c r="R110" t="s">
        <v>41</v>
      </c>
    </row>
    <row r="111" spans="1:18">
      <c r="A111" t="s">
        <v>159</v>
      </c>
      <c r="B111" s="4">
        <v>46170</v>
      </c>
      <c r="C111" t="s">
        <v>36</v>
      </c>
      <c r="D111" t="s">
        <v>37</v>
      </c>
      <c r="E111" t="s">
        <v>38</v>
      </c>
      <c r="F111" t="s">
        <v>46</v>
      </c>
      <c r="G111" t="s">
        <v>40</v>
      </c>
      <c r="H111">
        <v>2</v>
      </c>
      <c r="I111" s="5">
        <v>510944</v>
      </c>
      <c r="J111" s="5">
        <v>82028</v>
      </c>
      <c r="K111" s="5">
        <v>428916</v>
      </c>
      <c r="L111" s="5">
        <v>297312</v>
      </c>
      <c r="M111" s="5">
        <v>26597</v>
      </c>
      <c r="N111" s="5">
        <v>14902</v>
      </c>
      <c r="O111" s="5">
        <v>70467</v>
      </c>
      <c r="P111" s="5">
        <v>19638</v>
      </c>
      <c r="Q111">
        <v>2</v>
      </c>
      <c r="R111" t="s">
        <v>53</v>
      </c>
    </row>
    <row r="112" spans="1:18">
      <c r="A112" t="s">
        <v>160</v>
      </c>
      <c r="B112" s="4">
        <v>46160</v>
      </c>
      <c r="C112" t="s">
        <v>36</v>
      </c>
      <c r="D112" t="s">
        <v>37</v>
      </c>
      <c r="E112" t="s">
        <v>38</v>
      </c>
      <c r="F112" t="s">
        <v>46</v>
      </c>
      <c r="G112" t="s">
        <v>40</v>
      </c>
      <c r="H112">
        <v>3</v>
      </c>
      <c r="I112" s="5">
        <v>471775</v>
      </c>
      <c r="J112" s="5">
        <v>65860</v>
      </c>
      <c r="K112" s="5">
        <v>405915</v>
      </c>
      <c r="L112" s="5">
        <v>300290</v>
      </c>
      <c r="M112" s="5">
        <v>30116</v>
      </c>
      <c r="N112" s="5">
        <v>0</v>
      </c>
      <c r="O112" s="5">
        <v>62777</v>
      </c>
      <c r="P112" s="5">
        <v>12732</v>
      </c>
      <c r="Q112">
        <v>1</v>
      </c>
      <c r="R112" t="s">
        <v>41</v>
      </c>
    </row>
    <row r="113" spans="1:18">
      <c r="A113" t="s">
        <v>161</v>
      </c>
      <c r="B113" s="4">
        <v>46131</v>
      </c>
      <c r="C113" t="s">
        <v>36</v>
      </c>
      <c r="D113" t="s">
        <v>37</v>
      </c>
      <c r="E113" t="s">
        <v>38</v>
      </c>
      <c r="F113" t="s">
        <v>61</v>
      </c>
      <c r="G113" t="s">
        <v>43</v>
      </c>
      <c r="H113">
        <v>4</v>
      </c>
      <c r="I113" s="5">
        <v>254454</v>
      </c>
      <c r="J113" s="5">
        <v>29233</v>
      </c>
      <c r="K113" s="5">
        <v>225221</v>
      </c>
      <c r="L113" s="5">
        <v>133016</v>
      </c>
      <c r="M113" s="5">
        <v>17104</v>
      </c>
      <c r="N113" s="5">
        <v>0</v>
      </c>
      <c r="O113" s="5">
        <v>42961</v>
      </c>
      <c r="P113" s="5">
        <v>32140</v>
      </c>
      <c r="Q113">
        <v>4</v>
      </c>
      <c r="R113" t="s">
        <v>41</v>
      </c>
    </row>
    <row r="114" spans="1:18">
      <c r="A114" t="s">
        <v>162</v>
      </c>
      <c r="B114" s="4">
        <v>46145</v>
      </c>
      <c r="C114" t="s">
        <v>36</v>
      </c>
      <c r="D114" t="s">
        <v>37</v>
      </c>
      <c r="E114" t="s">
        <v>38</v>
      </c>
      <c r="F114" t="s">
        <v>51</v>
      </c>
      <c r="G114" t="s">
        <v>43</v>
      </c>
      <c r="H114">
        <v>1</v>
      </c>
      <c r="I114" s="5">
        <v>329333</v>
      </c>
      <c r="J114" s="5">
        <v>34132</v>
      </c>
      <c r="K114" s="5">
        <v>295201</v>
      </c>
      <c r="L114" s="5">
        <v>198104</v>
      </c>
      <c r="M114" s="5">
        <v>20768</v>
      </c>
      <c r="N114" s="5">
        <v>8837</v>
      </c>
      <c r="O114" s="5">
        <v>38740</v>
      </c>
      <c r="P114" s="5">
        <v>28752</v>
      </c>
      <c r="Q114">
        <v>2</v>
      </c>
      <c r="R114" t="s">
        <v>53</v>
      </c>
    </row>
    <row r="115" spans="1:18">
      <c r="A115" t="s">
        <v>163</v>
      </c>
      <c r="B115" s="4">
        <v>46192</v>
      </c>
      <c r="C115" t="s">
        <v>36</v>
      </c>
      <c r="D115" t="s">
        <v>37</v>
      </c>
      <c r="E115" t="s">
        <v>55</v>
      </c>
      <c r="F115" t="s">
        <v>61</v>
      </c>
      <c r="G115" t="s">
        <v>40</v>
      </c>
      <c r="H115">
        <v>4</v>
      </c>
      <c r="I115" s="5">
        <v>226039</v>
      </c>
      <c r="J115" s="5">
        <v>25818</v>
      </c>
      <c r="K115" s="5">
        <v>200221</v>
      </c>
      <c r="L115" s="5">
        <v>125033</v>
      </c>
      <c r="M115" s="5">
        <v>12583</v>
      </c>
      <c r="N115" s="5">
        <v>0</v>
      </c>
      <c r="O115" s="5">
        <v>43339</v>
      </c>
      <c r="P115" s="5">
        <v>19266</v>
      </c>
      <c r="Q115">
        <v>2</v>
      </c>
      <c r="R115" t="s">
        <v>41</v>
      </c>
    </row>
    <row r="116" spans="1:18">
      <c r="A116" t="s">
        <v>164</v>
      </c>
      <c r="B116" s="4">
        <v>46167</v>
      </c>
      <c r="C116" t="s">
        <v>36</v>
      </c>
      <c r="D116" t="s">
        <v>37</v>
      </c>
      <c r="E116" t="s">
        <v>59</v>
      </c>
      <c r="F116" t="s">
        <v>49</v>
      </c>
      <c r="G116" t="s">
        <v>43</v>
      </c>
      <c r="H116">
        <v>2</v>
      </c>
      <c r="I116" s="5">
        <v>465539</v>
      </c>
      <c r="J116" s="5">
        <v>48774</v>
      </c>
      <c r="K116" s="5">
        <v>416765</v>
      </c>
      <c r="L116" s="5">
        <v>279934</v>
      </c>
      <c r="M116" s="5">
        <v>26852</v>
      </c>
      <c r="N116" s="5">
        <v>0</v>
      </c>
      <c r="O116" s="5">
        <v>78595</v>
      </c>
      <c r="P116" s="5">
        <v>31384</v>
      </c>
      <c r="Q116">
        <v>3</v>
      </c>
      <c r="R116" t="s">
        <v>41</v>
      </c>
    </row>
    <row r="117" spans="1:18">
      <c r="A117" t="s">
        <v>165</v>
      </c>
      <c r="B117" s="4">
        <v>46180</v>
      </c>
      <c r="C117" t="s">
        <v>36</v>
      </c>
      <c r="D117" t="s">
        <v>37</v>
      </c>
      <c r="E117" t="s">
        <v>59</v>
      </c>
      <c r="F117" t="s">
        <v>46</v>
      </c>
      <c r="G117" t="s">
        <v>43</v>
      </c>
      <c r="H117">
        <v>1</v>
      </c>
      <c r="I117" s="5">
        <v>444157</v>
      </c>
      <c r="J117" s="5">
        <v>39816</v>
      </c>
      <c r="K117" s="5">
        <v>404341</v>
      </c>
      <c r="L117" s="5">
        <v>279586</v>
      </c>
      <c r="M117" s="5">
        <v>30574</v>
      </c>
      <c r="N117" s="5">
        <v>0</v>
      </c>
      <c r="O117" s="5">
        <v>67589</v>
      </c>
      <c r="P117" s="5">
        <v>26592</v>
      </c>
      <c r="Q117">
        <v>3</v>
      </c>
      <c r="R117" t="s">
        <v>41</v>
      </c>
    </row>
    <row r="118" spans="1:18">
      <c r="A118" t="s">
        <v>166</v>
      </c>
      <c r="B118" s="4">
        <v>46157</v>
      </c>
      <c r="C118" t="s">
        <v>36</v>
      </c>
      <c r="D118" t="s">
        <v>37</v>
      </c>
      <c r="E118" t="s">
        <v>38</v>
      </c>
      <c r="F118" t="s">
        <v>61</v>
      </c>
      <c r="G118" t="s">
        <v>43</v>
      </c>
      <c r="H118">
        <v>2</v>
      </c>
      <c r="I118" s="5">
        <v>246697</v>
      </c>
      <c r="J118" s="5">
        <v>11133</v>
      </c>
      <c r="K118" s="5">
        <v>235564</v>
      </c>
      <c r="L118" s="5">
        <v>149075</v>
      </c>
      <c r="M118" s="5">
        <v>12864</v>
      </c>
      <c r="N118" s="5">
        <v>0</v>
      </c>
      <c r="O118" s="5">
        <v>50169</v>
      </c>
      <c r="P118" s="5">
        <v>23456</v>
      </c>
      <c r="Q118">
        <v>1</v>
      </c>
      <c r="R118" t="s">
        <v>41</v>
      </c>
    </row>
    <row r="119" spans="1:18">
      <c r="A119" t="s">
        <v>167</v>
      </c>
      <c r="B119" s="4">
        <v>46172</v>
      </c>
      <c r="C119" t="s">
        <v>36</v>
      </c>
      <c r="D119" t="s">
        <v>37</v>
      </c>
      <c r="E119" t="s">
        <v>55</v>
      </c>
      <c r="F119" t="s">
        <v>51</v>
      </c>
      <c r="G119" t="s">
        <v>40</v>
      </c>
      <c r="H119">
        <v>1</v>
      </c>
      <c r="I119" s="5">
        <v>396388</v>
      </c>
      <c r="J119" s="5">
        <v>60366</v>
      </c>
      <c r="K119" s="5">
        <v>336022</v>
      </c>
      <c r="L119" s="5">
        <v>243390</v>
      </c>
      <c r="M119" s="5">
        <v>21651</v>
      </c>
      <c r="N119" s="5">
        <v>0</v>
      </c>
      <c r="O119" s="5">
        <v>58094</v>
      </c>
      <c r="P119" s="5">
        <v>12887</v>
      </c>
      <c r="Q119">
        <v>4</v>
      </c>
      <c r="R119" t="s">
        <v>41</v>
      </c>
    </row>
    <row r="120" spans="1:18">
      <c r="A120" t="s">
        <v>168</v>
      </c>
      <c r="B120" s="4">
        <v>46118</v>
      </c>
      <c r="C120" t="s">
        <v>36</v>
      </c>
      <c r="D120" t="s">
        <v>37</v>
      </c>
      <c r="E120" t="s">
        <v>45</v>
      </c>
      <c r="F120" t="s">
        <v>39</v>
      </c>
      <c r="G120" t="s">
        <v>43</v>
      </c>
      <c r="H120">
        <v>5</v>
      </c>
      <c r="I120" s="5">
        <v>360418</v>
      </c>
      <c r="J120" s="5">
        <v>33241</v>
      </c>
      <c r="K120" s="5">
        <v>327177</v>
      </c>
      <c r="L120" s="5">
        <v>213630</v>
      </c>
      <c r="M120" s="5">
        <v>21278</v>
      </c>
      <c r="N120" s="5">
        <v>0</v>
      </c>
      <c r="O120" s="5">
        <v>77724</v>
      </c>
      <c r="P120" s="5">
        <v>14545</v>
      </c>
      <c r="Q120">
        <v>1</v>
      </c>
      <c r="R120" t="s">
        <v>41</v>
      </c>
    </row>
    <row r="121" spans="1:18">
      <c r="A121" t="s">
        <v>169</v>
      </c>
      <c r="B121" s="4">
        <v>46119</v>
      </c>
      <c r="C121" t="s">
        <v>36</v>
      </c>
      <c r="D121" t="s">
        <v>37</v>
      </c>
      <c r="E121" t="s">
        <v>45</v>
      </c>
      <c r="F121" t="s">
        <v>39</v>
      </c>
      <c r="G121" t="s">
        <v>40</v>
      </c>
      <c r="H121">
        <v>3</v>
      </c>
      <c r="I121" s="5">
        <v>214143</v>
      </c>
      <c r="J121" s="5">
        <v>21537</v>
      </c>
      <c r="K121" s="5">
        <v>192606</v>
      </c>
      <c r="L121" s="5">
        <v>116368</v>
      </c>
      <c r="M121" s="5">
        <v>11262</v>
      </c>
      <c r="N121" s="5">
        <v>0</v>
      </c>
      <c r="O121" s="5">
        <v>30004</v>
      </c>
      <c r="P121" s="5">
        <v>34972</v>
      </c>
      <c r="Q121">
        <v>3</v>
      </c>
      <c r="R121" t="s">
        <v>41</v>
      </c>
    </row>
    <row r="122" spans="1:18">
      <c r="A122" t="s">
        <v>170</v>
      </c>
      <c r="B122" s="4">
        <v>46136</v>
      </c>
      <c r="C122" t="s">
        <v>36</v>
      </c>
      <c r="D122" t="s">
        <v>37</v>
      </c>
      <c r="E122" t="s">
        <v>55</v>
      </c>
      <c r="F122" t="s">
        <v>46</v>
      </c>
      <c r="G122" t="s">
        <v>43</v>
      </c>
      <c r="H122">
        <v>5</v>
      </c>
      <c r="I122" s="5">
        <v>403708</v>
      </c>
      <c r="J122" s="5">
        <v>31232</v>
      </c>
      <c r="K122" s="5">
        <v>372476</v>
      </c>
      <c r="L122" s="5">
        <v>242481</v>
      </c>
      <c r="M122" s="5">
        <v>33111</v>
      </c>
      <c r="N122" s="5">
        <v>0</v>
      </c>
      <c r="O122" s="5">
        <v>61386</v>
      </c>
      <c r="P122" s="5">
        <v>35498</v>
      </c>
      <c r="Q122">
        <v>4</v>
      </c>
      <c r="R122" t="s">
        <v>41</v>
      </c>
    </row>
    <row r="123" spans="1:18">
      <c r="A123" t="s">
        <v>171</v>
      </c>
      <c r="B123" s="4">
        <v>46136</v>
      </c>
      <c r="C123" t="s">
        <v>36</v>
      </c>
      <c r="D123" t="s">
        <v>37</v>
      </c>
      <c r="E123" t="s">
        <v>45</v>
      </c>
      <c r="F123" t="s">
        <v>39</v>
      </c>
      <c r="G123" t="s">
        <v>40</v>
      </c>
      <c r="H123">
        <v>1</v>
      </c>
      <c r="I123" s="5">
        <v>343957</v>
      </c>
      <c r="J123" s="5">
        <v>37311</v>
      </c>
      <c r="K123" s="5">
        <v>306646</v>
      </c>
      <c r="L123" s="5">
        <v>201246</v>
      </c>
      <c r="M123" s="5">
        <v>21638</v>
      </c>
      <c r="N123" s="5">
        <v>0</v>
      </c>
      <c r="O123" s="5">
        <v>57324</v>
      </c>
      <c r="P123" s="5">
        <v>26438</v>
      </c>
      <c r="Q123">
        <v>4</v>
      </c>
      <c r="R123" t="s">
        <v>41</v>
      </c>
    </row>
    <row r="124" spans="1:18">
      <c r="A124" t="s">
        <v>172</v>
      </c>
      <c r="B124" s="4">
        <v>46169</v>
      </c>
      <c r="C124" t="s">
        <v>36</v>
      </c>
      <c r="D124" t="s">
        <v>37</v>
      </c>
      <c r="E124" t="s">
        <v>45</v>
      </c>
      <c r="F124" t="s">
        <v>46</v>
      </c>
      <c r="G124" t="s">
        <v>40</v>
      </c>
      <c r="H124">
        <v>6</v>
      </c>
      <c r="I124" s="5">
        <v>417393</v>
      </c>
      <c r="J124" s="5">
        <v>40162</v>
      </c>
      <c r="K124" s="5">
        <v>377231</v>
      </c>
      <c r="L124" s="5">
        <v>247355</v>
      </c>
      <c r="M124" s="5">
        <v>30469</v>
      </c>
      <c r="N124" s="5">
        <v>0</v>
      </c>
      <c r="O124" s="5">
        <v>65662</v>
      </c>
      <c r="P124" s="5">
        <v>33745</v>
      </c>
      <c r="Q124">
        <v>4</v>
      </c>
      <c r="R124" t="s">
        <v>41</v>
      </c>
    </row>
    <row r="125" spans="1:18">
      <c r="A125" t="s">
        <v>173</v>
      </c>
      <c r="B125" s="4">
        <v>46120</v>
      </c>
      <c r="C125" t="s">
        <v>36</v>
      </c>
      <c r="D125" t="s">
        <v>37</v>
      </c>
      <c r="E125" t="s">
        <v>59</v>
      </c>
      <c r="F125" t="s">
        <v>46</v>
      </c>
      <c r="G125" t="s">
        <v>43</v>
      </c>
      <c r="H125">
        <v>5</v>
      </c>
      <c r="I125" s="5">
        <v>350351</v>
      </c>
      <c r="J125" s="5">
        <v>46368</v>
      </c>
      <c r="K125" s="5">
        <v>303983</v>
      </c>
      <c r="L125" s="5">
        <v>212945</v>
      </c>
      <c r="M125" s="5">
        <v>19634</v>
      </c>
      <c r="N125" s="5">
        <v>0</v>
      </c>
      <c r="O125" s="5">
        <v>44033</v>
      </c>
      <c r="P125" s="5">
        <v>27371</v>
      </c>
      <c r="Q125">
        <v>2</v>
      </c>
      <c r="R125" t="s">
        <v>41</v>
      </c>
    </row>
    <row r="126" spans="1:18">
      <c r="A126" t="s">
        <v>174</v>
      </c>
      <c r="B126" s="4">
        <v>46169</v>
      </c>
      <c r="C126" t="s">
        <v>36</v>
      </c>
      <c r="D126" t="s">
        <v>37</v>
      </c>
      <c r="E126" t="s">
        <v>59</v>
      </c>
      <c r="F126" t="s">
        <v>51</v>
      </c>
      <c r="G126" t="s">
        <v>40</v>
      </c>
      <c r="H126">
        <v>2</v>
      </c>
      <c r="I126" s="5">
        <v>169101</v>
      </c>
      <c r="J126" s="5">
        <v>21418</v>
      </c>
      <c r="K126" s="5">
        <v>147683</v>
      </c>
      <c r="L126" s="5">
        <v>100540</v>
      </c>
      <c r="M126" s="5">
        <v>8627</v>
      </c>
      <c r="N126" s="5">
        <v>0</v>
      </c>
      <c r="O126" s="5">
        <v>22129</v>
      </c>
      <c r="P126" s="5">
        <v>16387</v>
      </c>
      <c r="Q126">
        <v>1</v>
      </c>
      <c r="R126" t="s">
        <v>41</v>
      </c>
    </row>
    <row r="127" spans="1:18">
      <c r="A127" t="s">
        <v>175</v>
      </c>
      <c r="B127" s="4">
        <v>46199</v>
      </c>
      <c r="C127" t="s">
        <v>36</v>
      </c>
      <c r="D127" t="s">
        <v>37</v>
      </c>
      <c r="E127" t="s">
        <v>55</v>
      </c>
      <c r="F127" t="s">
        <v>39</v>
      </c>
      <c r="G127" t="s">
        <v>43</v>
      </c>
      <c r="H127">
        <v>4</v>
      </c>
      <c r="I127" s="5">
        <v>275042</v>
      </c>
      <c r="J127" s="5">
        <v>31893</v>
      </c>
      <c r="K127" s="5">
        <v>243149</v>
      </c>
      <c r="L127" s="5">
        <v>162384</v>
      </c>
      <c r="M127" s="5">
        <v>18794</v>
      </c>
      <c r="N127" s="5">
        <v>0</v>
      </c>
      <c r="O127" s="5">
        <v>46106</v>
      </c>
      <c r="P127" s="5">
        <v>15865</v>
      </c>
      <c r="Q127">
        <v>2</v>
      </c>
      <c r="R127" t="s">
        <v>41</v>
      </c>
    </row>
    <row r="128" spans="1:18">
      <c r="A128" t="s">
        <v>176</v>
      </c>
      <c r="B128" s="4">
        <v>46144</v>
      </c>
      <c r="C128" t="s">
        <v>36</v>
      </c>
      <c r="D128" t="s">
        <v>37</v>
      </c>
      <c r="E128" t="s">
        <v>59</v>
      </c>
      <c r="F128" t="s">
        <v>61</v>
      </c>
      <c r="G128" t="s">
        <v>40</v>
      </c>
      <c r="H128">
        <v>4</v>
      </c>
      <c r="I128" s="5">
        <v>172932</v>
      </c>
      <c r="J128" s="5">
        <v>19672</v>
      </c>
      <c r="K128" s="5">
        <v>153260</v>
      </c>
      <c r="L128" s="5">
        <v>96648</v>
      </c>
      <c r="M128" s="5">
        <v>10084</v>
      </c>
      <c r="N128" s="5">
        <v>0</v>
      </c>
      <c r="O128" s="5">
        <v>26091</v>
      </c>
      <c r="P128" s="5">
        <v>20437</v>
      </c>
      <c r="Q128">
        <v>1</v>
      </c>
      <c r="R128" t="s">
        <v>41</v>
      </c>
    </row>
    <row r="129" spans="1:18">
      <c r="A129" t="s">
        <v>177</v>
      </c>
      <c r="B129" s="4">
        <v>46140</v>
      </c>
      <c r="C129" t="s">
        <v>36</v>
      </c>
      <c r="D129" t="s">
        <v>37</v>
      </c>
      <c r="E129" t="s">
        <v>45</v>
      </c>
      <c r="F129" t="s">
        <v>46</v>
      </c>
      <c r="G129" t="s">
        <v>40</v>
      </c>
      <c r="H129">
        <v>1</v>
      </c>
      <c r="I129" s="5">
        <v>436028</v>
      </c>
      <c r="J129" s="5">
        <v>14404</v>
      </c>
      <c r="K129" s="5">
        <v>421624</v>
      </c>
      <c r="L129" s="5">
        <v>266744</v>
      </c>
      <c r="M129" s="5">
        <v>35148</v>
      </c>
      <c r="N129" s="5">
        <v>0</v>
      </c>
      <c r="O129" s="5">
        <v>84359</v>
      </c>
      <c r="P129" s="5">
        <v>35373</v>
      </c>
      <c r="Q129">
        <v>3</v>
      </c>
      <c r="R129" t="s">
        <v>41</v>
      </c>
    </row>
    <row r="130" spans="1:18">
      <c r="A130" t="s">
        <v>178</v>
      </c>
      <c r="B130" s="4">
        <v>46200</v>
      </c>
      <c r="C130" t="s">
        <v>36</v>
      </c>
      <c r="D130" t="s">
        <v>37</v>
      </c>
      <c r="E130" t="s">
        <v>45</v>
      </c>
      <c r="F130" t="s">
        <v>39</v>
      </c>
      <c r="G130" t="s">
        <v>40</v>
      </c>
      <c r="H130">
        <v>5</v>
      </c>
      <c r="I130" s="5">
        <v>461721</v>
      </c>
      <c r="J130" s="5">
        <v>54960</v>
      </c>
      <c r="K130" s="5">
        <v>406761</v>
      </c>
      <c r="L130" s="5">
        <v>260123</v>
      </c>
      <c r="M130" s="5">
        <v>33111</v>
      </c>
      <c r="N130" s="5">
        <v>0</v>
      </c>
      <c r="O130" s="5">
        <v>80755</v>
      </c>
      <c r="P130" s="5">
        <v>32772</v>
      </c>
      <c r="Q130">
        <v>4</v>
      </c>
      <c r="R130" t="s">
        <v>41</v>
      </c>
    </row>
    <row r="131" spans="1:18">
      <c r="A131" t="s">
        <v>179</v>
      </c>
      <c r="B131" s="4">
        <v>46194</v>
      </c>
      <c r="C131" t="s">
        <v>36</v>
      </c>
      <c r="D131" t="s">
        <v>37</v>
      </c>
      <c r="E131" t="s">
        <v>38</v>
      </c>
      <c r="F131" t="s">
        <v>39</v>
      </c>
      <c r="G131" t="s">
        <v>40</v>
      </c>
      <c r="H131">
        <v>1</v>
      </c>
      <c r="I131" s="5">
        <v>408752</v>
      </c>
      <c r="J131" s="5">
        <v>15873</v>
      </c>
      <c r="K131" s="5">
        <v>392879</v>
      </c>
      <c r="L131" s="5">
        <v>271229</v>
      </c>
      <c r="M131" s="5">
        <v>31715</v>
      </c>
      <c r="N131" s="5">
        <v>0</v>
      </c>
      <c r="O131" s="5">
        <v>55530</v>
      </c>
      <c r="P131" s="5">
        <v>34405</v>
      </c>
      <c r="Q131">
        <v>2</v>
      </c>
      <c r="R131" t="s">
        <v>41</v>
      </c>
    </row>
    <row r="132" spans="1:18">
      <c r="A132" t="s">
        <v>180</v>
      </c>
      <c r="B132" s="4">
        <v>46186</v>
      </c>
      <c r="C132" t="s">
        <v>36</v>
      </c>
      <c r="D132" t="s">
        <v>37</v>
      </c>
      <c r="E132" t="s">
        <v>45</v>
      </c>
      <c r="F132" t="s">
        <v>46</v>
      </c>
      <c r="G132" t="s">
        <v>40</v>
      </c>
      <c r="H132">
        <v>5</v>
      </c>
      <c r="I132" s="5">
        <v>287645</v>
      </c>
      <c r="J132" s="5">
        <v>49406</v>
      </c>
      <c r="K132" s="5">
        <v>238239</v>
      </c>
      <c r="L132" s="5">
        <v>142271</v>
      </c>
      <c r="M132" s="5">
        <v>16180</v>
      </c>
      <c r="N132" s="5">
        <v>0</v>
      </c>
      <c r="O132" s="5">
        <v>44416</v>
      </c>
      <c r="P132" s="5">
        <v>35372</v>
      </c>
      <c r="Q132">
        <v>3</v>
      </c>
      <c r="R132" t="s">
        <v>41</v>
      </c>
    </row>
    <row r="133" spans="1:18">
      <c r="A133" t="s">
        <v>181</v>
      </c>
      <c r="B133" s="4">
        <v>46165</v>
      </c>
      <c r="C133" t="s">
        <v>36</v>
      </c>
      <c r="D133" t="s">
        <v>37</v>
      </c>
      <c r="E133" t="s">
        <v>55</v>
      </c>
      <c r="F133" t="s">
        <v>49</v>
      </c>
      <c r="G133" t="s">
        <v>40</v>
      </c>
      <c r="H133">
        <v>2</v>
      </c>
      <c r="I133" s="5">
        <v>186974</v>
      </c>
      <c r="J133" s="5">
        <v>22370</v>
      </c>
      <c r="K133" s="5">
        <v>164604</v>
      </c>
      <c r="L133" s="5">
        <v>104977</v>
      </c>
      <c r="M133" s="5">
        <v>13004</v>
      </c>
      <c r="N133" s="5">
        <v>0</v>
      </c>
      <c r="O133" s="5">
        <v>28669</v>
      </c>
      <c r="P133" s="5">
        <v>17954</v>
      </c>
      <c r="Q133">
        <v>3</v>
      </c>
      <c r="R133" t="s">
        <v>41</v>
      </c>
    </row>
    <row r="134" spans="1:18">
      <c r="A134" t="s">
        <v>182</v>
      </c>
      <c r="B134" s="4">
        <v>46183</v>
      </c>
      <c r="C134" t="s">
        <v>36</v>
      </c>
      <c r="D134" t="s">
        <v>37</v>
      </c>
      <c r="E134" t="s">
        <v>38</v>
      </c>
      <c r="F134" t="s">
        <v>51</v>
      </c>
      <c r="G134" t="s">
        <v>43</v>
      </c>
      <c r="H134">
        <v>5</v>
      </c>
      <c r="I134" s="5">
        <v>483664</v>
      </c>
      <c r="J134" s="5">
        <v>77113</v>
      </c>
      <c r="K134" s="5">
        <v>406551</v>
      </c>
      <c r="L134" s="5">
        <v>279264</v>
      </c>
      <c r="M134" s="5">
        <v>33800</v>
      </c>
      <c r="N134" s="5">
        <v>0</v>
      </c>
      <c r="O134" s="5">
        <v>74535</v>
      </c>
      <c r="P134" s="5">
        <v>18952</v>
      </c>
      <c r="Q134">
        <v>3</v>
      </c>
      <c r="R134" t="s">
        <v>41</v>
      </c>
    </row>
    <row r="135" spans="1:18">
      <c r="A135" t="s">
        <v>183</v>
      </c>
      <c r="B135" s="4">
        <v>46154</v>
      </c>
      <c r="C135" t="s">
        <v>36</v>
      </c>
      <c r="D135" t="s">
        <v>37</v>
      </c>
      <c r="E135" t="s">
        <v>38</v>
      </c>
      <c r="F135" t="s">
        <v>39</v>
      </c>
      <c r="G135" t="s">
        <v>43</v>
      </c>
      <c r="H135">
        <v>1</v>
      </c>
      <c r="I135" s="5">
        <v>485107</v>
      </c>
      <c r="J135" s="5">
        <v>58216</v>
      </c>
      <c r="K135" s="5">
        <v>426891</v>
      </c>
      <c r="L135" s="5">
        <v>284521</v>
      </c>
      <c r="M135" s="5">
        <v>27218</v>
      </c>
      <c r="N135" s="5">
        <v>0</v>
      </c>
      <c r="O135" s="5">
        <v>99910</v>
      </c>
      <c r="P135" s="5">
        <v>15242</v>
      </c>
      <c r="Q135">
        <v>3</v>
      </c>
      <c r="R135" t="s">
        <v>41</v>
      </c>
    </row>
    <row r="136" spans="1:18">
      <c r="A136" t="s">
        <v>184</v>
      </c>
      <c r="B136" s="4">
        <v>46181</v>
      </c>
      <c r="C136" t="s">
        <v>36</v>
      </c>
      <c r="D136" t="s">
        <v>37</v>
      </c>
      <c r="E136" t="s">
        <v>59</v>
      </c>
      <c r="F136" t="s">
        <v>49</v>
      </c>
      <c r="G136" t="s">
        <v>40</v>
      </c>
      <c r="H136">
        <v>5</v>
      </c>
      <c r="I136" s="5">
        <v>194098</v>
      </c>
      <c r="J136" s="5">
        <v>21314</v>
      </c>
      <c r="K136" s="5">
        <v>172784</v>
      </c>
      <c r="L136" s="5">
        <v>102444</v>
      </c>
      <c r="M136" s="5">
        <v>9127</v>
      </c>
      <c r="N136" s="5">
        <v>0</v>
      </c>
      <c r="O136" s="5">
        <v>28845</v>
      </c>
      <c r="P136" s="5">
        <v>32368</v>
      </c>
      <c r="Q136">
        <v>5</v>
      </c>
      <c r="R136" t="s">
        <v>41</v>
      </c>
    </row>
    <row r="137" spans="1:18">
      <c r="A137" t="s">
        <v>185</v>
      </c>
      <c r="B137" s="4">
        <v>46185</v>
      </c>
      <c r="C137" t="s">
        <v>36</v>
      </c>
      <c r="D137" t="s">
        <v>37</v>
      </c>
      <c r="E137" t="s">
        <v>59</v>
      </c>
      <c r="F137" t="s">
        <v>61</v>
      </c>
      <c r="G137" t="s">
        <v>40</v>
      </c>
      <c r="H137">
        <v>1</v>
      </c>
      <c r="I137" s="5">
        <v>333943</v>
      </c>
      <c r="J137" s="5">
        <v>43048</v>
      </c>
      <c r="K137" s="5">
        <v>290895</v>
      </c>
      <c r="L137" s="5">
        <v>189181</v>
      </c>
      <c r="M137" s="5">
        <v>22730</v>
      </c>
      <c r="N137" s="5">
        <v>0</v>
      </c>
      <c r="O137" s="5">
        <v>43986</v>
      </c>
      <c r="P137" s="5">
        <v>34998</v>
      </c>
      <c r="Q137">
        <v>3</v>
      </c>
      <c r="R137" t="s">
        <v>41</v>
      </c>
    </row>
    <row r="138" spans="1:18">
      <c r="A138" t="s">
        <v>186</v>
      </c>
      <c r="B138" s="4">
        <v>46192</v>
      </c>
      <c r="C138" t="s">
        <v>36</v>
      </c>
      <c r="D138" t="s">
        <v>37</v>
      </c>
      <c r="E138" t="s">
        <v>59</v>
      </c>
      <c r="F138" t="s">
        <v>46</v>
      </c>
      <c r="G138" t="s">
        <v>43</v>
      </c>
      <c r="H138">
        <v>6</v>
      </c>
      <c r="I138" s="5">
        <v>201597</v>
      </c>
      <c r="J138" s="5">
        <v>33663</v>
      </c>
      <c r="K138" s="5">
        <v>167934</v>
      </c>
      <c r="L138" s="5">
        <v>102065</v>
      </c>
      <c r="M138" s="5">
        <v>9923</v>
      </c>
      <c r="N138" s="5">
        <v>0</v>
      </c>
      <c r="O138" s="5">
        <v>33028</v>
      </c>
      <c r="P138" s="5">
        <v>22918</v>
      </c>
      <c r="Q138">
        <v>2</v>
      </c>
      <c r="R138" t="s">
        <v>41</v>
      </c>
    </row>
    <row r="139" spans="1:18">
      <c r="A139" t="s">
        <v>187</v>
      </c>
      <c r="B139" s="4">
        <v>46122</v>
      </c>
      <c r="C139" t="s">
        <v>36</v>
      </c>
      <c r="D139" t="s">
        <v>37</v>
      </c>
      <c r="E139" t="s">
        <v>59</v>
      </c>
      <c r="F139" t="s">
        <v>51</v>
      </c>
      <c r="G139" t="s">
        <v>43</v>
      </c>
      <c r="H139">
        <v>4</v>
      </c>
      <c r="I139" s="5">
        <v>436886</v>
      </c>
      <c r="J139" s="5">
        <v>64973</v>
      </c>
      <c r="K139" s="5">
        <v>371913</v>
      </c>
      <c r="L139" s="5">
        <v>258514</v>
      </c>
      <c r="M139" s="5">
        <v>30028</v>
      </c>
      <c r="N139" s="5">
        <v>0</v>
      </c>
      <c r="O139" s="5">
        <v>55035</v>
      </c>
      <c r="P139" s="5">
        <v>28336</v>
      </c>
      <c r="Q139">
        <v>3</v>
      </c>
      <c r="R139" t="s">
        <v>41</v>
      </c>
    </row>
    <row r="140" spans="1:18">
      <c r="A140" t="s">
        <v>188</v>
      </c>
      <c r="B140" s="4">
        <v>46157</v>
      </c>
      <c r="C140" t="s">
        <v>36</v>
      </c>
      <c r="D140" t="s">
        <v>37</v>
      </c>
      <c r="E140" t="s">
        <v>55</v>
      </c>
      <c r="F140" t="s">
        <v>51</v>
      </c>
      <c r="G140" t="s">
        <v>43</v>
      </c>
      <c r="H140">
        <v>5</v>
      </c>
      <c r="I140" s="5">
        <v>408807</v>
      </c>
      <c r="J140" s="5">
        <v>35350</v>
      </c>
      <c r="K140" s="5">
        <v>373457</v>
      </c>
      <c r="L140" s="5">
        <v>262183</v>
      </c>
      <c r="M140" s="5">
        <v>25876</v>
      </c>
      <c r="N140" s="5">
        <v>0</v>
      </c>
      <c r="O140" s="5">
        <v>68848</v>
      </c>
      <c r="P140" s="5">
        <v>16550</v>
      </c>
      <c r="Q140">
        <v>3</v>
      </c>
      <c r="R140" t="s">
        <v>41</v>
      </c>
    </row>
    <row r="141" spans="1:18">
      <c r="A141" t="s">
        <v>189</v>
      </c>
      <c r="B141" s="4">
        <v>46125</v>
      </c>
      <c r="C141" t="s">
        <v>36</v>
      </c>
      <c r="D141" t="s">
        <v>37</v>
      </c>
      <c r="E141" t="s">
        <v>59</v>
      </c>
      <c r="F141" t="s">
        <v>39</v>
      </c>
      <c r="G141" t="s">
        <v>43</v>
      </c>
      <c r="H141">
        <v>5</v>
      </c>
      <c r="I141" s="5">
        <v>201862</v>
      </c>
      <c r="J141" s="5">
        <v>16469</v>
      </c>
      <c r="K141" s="5">
        <v>185393</v>
      </c>
      <c r="L141" s="5">
        <v>107747</v>
      </c>
      <c r="M141" s="5">
        <v>10551</v>
      </c>
      <c r="N141" s="5">
        <v>0</v>
      </c>
      <c r="O141" s="5">
        <v>30941</v>
      </c>
      <c r="P141" s="5">
        <v>36154</v>
      </c>
      <c r="Q141">
        <v>3</v>
      </c>
      <c r="R141" t="s">
        <v>41</v>
      </c>
    </row>
    <row r="142" spans="1:18">
      <c r="A142" t="s">
        <v>190</v>
      </c>
      <c r="B142" s="4">
        <v>46153</v>
      </c>
      <c r="C142" t="s">
        <v>36</v>
      </c>
      <c r="D142" t="s">
        <v>37</v>
      </c>
      <c r="E142" t="s">
        <v>38</v>
      </c>
      <c r="F142" t="s">
        <v>51</v>
      </c>
      <c r="G142" t="s">
        <v>43</v>
      </c>
      <c r="H142">
        <v>5</v>
      </c>
      <c r="I142" s="5">
        <v>297204</v>
      </c>
      <c r="J142" s="5">
        <v>9468</v>
      </c>
      <c r="K142" s="5">
        <v>287736</v>
      </c>
      <c r="L142" s="5">
        <v>192762</v>
      </c>
      <c r="M142" s="5">
        <v>23433</v>
      </c>
      <c r="N142" s="5">
        <v>0</v>
      </c>
      <c r="O142" s="5">
        <v>37037</v>
      </c>
      <c r="P142" s="5">
        <v>34504</v>
      </c>
      <c r="Q142">
        <v>5</v>
      </c>
      <c r="R142" t="s">
        <v>41</v>
      </c>
    </row>
    <row r="143" spans="1:18">
      <c r="A143" t="s">
        <v>191</v>
      </c>
      <c r="B143" s="4">
        <v>46171</v>
      </c>
      <c r="C143" t="s">
        <v>36</v>
      </c>
      <c r="D143" t="s">
        <v>37</v>
      </c>
      <c r="E143" t="s">
        <v>38</v>
      </c>
      <c r="F143" t="s">
        <v>51</v>
      </c>
      <c r="G143" t="s">
        <v>43</v>
      </c>
      <c r="H143">
        <v>1</v>
      </c>
      <c r="I143" s="5">
        <v>322497</v>
      </c>
      <c r="J143" s="5">
        <v>12776</v>
      </c>
      <c r="K143" s="5">
        <v>309721</v>
      </c>
      <c r="L143" s="5">
        <v>197421</v>
      </c>
      <c r="M143" s="5">
        <v>17324</v>
      </c>
      <c r="N143" s="5">
        <v>0</v>
      </c>
      <c r="O143" s="5">
        <v>57650</v>
      </c>
      <c r="P143" s="5">
        <v>37326</v>
      </c>
      <c r="Q143">
        <v>4</v>
      </c>
      <c r="R143" t="s">
        <v>41</v>
      </c>
    </row>
    <row r="144" spans="1:18">
      <c r="A144" t="s">
        <v>192</v>
      </c>
      <c r="B144" s="4">
        <v>46181</v>
      </c>
      <c r="C144" t="s">
        <v>36</v>
      </c>
      <c r="D144" t="s">
        <v>37</v>
      </c>
      <c r="E144" t="s">
        <v>59</v>
      </c>
      <c r="F144" t="s">
        <v>61</v>
      </c>
      <c r="G144" t="s">
        <v>43</v>
      </c>
      <c r="H144">
        <v>2</v>
      </c>
      <c r="I144" s="5">
        <v>265189</v>
      </c>
      <c r="J144" s="5">
        <v>39476</v>
      </c>
      <c r="K144" s="5">
        <v>225713</v>
      </c>
      <c r="L144" s="5">
        <v>146239</v>
      </c>
      <c r="M144" s="5">
        <v>16593</v>
      </c>
      <c r="N144" s="5">
        <v>0</v>
      </c>
      <c r="O144" s="5">
        <v>29738</v>
      </c>
      <c r="P144" s="5">
        <v>33143</v>
      </c>
      <c r="Q144">
        <v>4</v>
      </c>
      <c r="R144" t="s">
        <v>41</v>
      </c>
    </row>
    <row r="145" spans="1:18">
      <c r="A145" t="s">
        <v>193</v>
      </c>
      <c r="B145" s="4">
        <v>46185</v>
      </c>
      <c r="C145" t="s">
        <v>36</v>
      </c>
      <c r="D145" t="s">
        <v>37</v>
      </c>
      <c r="E145" t="s">
        <v>38</v>
      </c>
      <c r="F145" t="s">
        <v>39</v>
      </c>
      <c r="G145" t="s">
        <v>43</v>
      </c>
      <c r="H145">
        <v>1</v>
      </c>
      <c r="I145" s="5">
        <v>477333</v>
      </c>
      <c r="J145" s="5">
        <v>72427</v>
      </c>
      <c r="K145" s="5">
        <v>404906</v>
      </c>
      <c r="L145" s="5">
        <v>277019</v>
      </c>
      <c r="M145" s="5">
        <v>27614</v>
      </c>
      <c r="N145" s="5">
        <v>0</v>
      </c>
      <c r="O145" s="5">
        <v>65344</v>
      </c>
      <c r="P145" s="5">
        <v>34929</v>
      </c>
      <c r="Q145">
        <v>2</v>
      </c>
      <c r="R145" t="s">
        <v>41</v>
      </c>
    </row>
    <row r="146" spans="1:18">
      <c r="A146" t="s">
        <v>194</v>
      </c>
      <c r="B146" s="4">
        <v>46191</v>
      </c>
      <c r="C146" t="s">
        <v>36</v>
      </c>
      <c r="D146" t="s">
        <v>37</v>
      </c>
      <c r="E146" t="s">
        <v>59</v>
      </c>
      <c r="F146" t="s">
        <v>51</v>
      </c>
      <c r="G146" t="s">
        <v>40</v>
      </c>
      <c r="H146">
        <v>4</v>
      </c>
      <c r="I146" s="5">
        <v>296376</v>
      </c>
      <c r="J146" s="5">
        <v>24025</v>
      </c>
      <c r="K146" s="5">
        <v>272351</v>
      </c>
      <c r="L146" s="5">
        <v>188996</v>
      </c>
      <c r="M146" s="5">
        <v>24097</v>
      </c>
      <c r="N146" s="5">
        <v>0</v>
      </c>
      <c r="O146" s="5">
        <v>45989</v>
      </c>
      <c r="P146" s="5">
        <v>13269</v>
      </c>
      <c r="Q146">
        <v>4</v>
      </c>
      <c r="R146" t="s">
        <v>41</v>
      </c>
    </row>
    <row r="147" spans="1:18">
      <c r="A147" t="s">
        <v>195</v>
      </c>
      <c r="B147" s="4">
        <v>46190</v>
      </c>
      <c r="C147" t="s">
        <v>36</v>
      </c>
      <c r="D147" t="s">
        <v>37</v>
      </c>
      <c r="E147" t="s">
        <v>55</v>
      </c>
      <c r="F147" t="s">
        <v>49</v>
      </c>
      <c r="G147" t="s">
        <v>40</v>
      </c>
      <c r="H147">
        <v>1</v>
      </c>
      <c r="I147" s="5">
        <v>218301</v>
      </c>
      <c r="J147" s="5">
        <v>8301</v>
      </c>
      <c r="K147" s="5">
        <v>210000</v>
      </c>
      <c r="L147" s="5">
        <v>130512</v>
      </c>
      <c r="M147" s="5">
        <v>13337</v>
      </c>
      <c r="N147" s="5">
        <v>0</v>
      </c>
      <c r="O147" s="5">
        <v>34885</v>
      </c>
      <c r="P147" s="5">
        <v>31266</v>
      </c>
      <c r="Q147">
        <v>6</v>
      </c>
      <c r="R147" t="s">
        <v>41</v>
      </c>
    </row>
    <row r="148" spans="1:18">
      <c r="A148" t="s">
        <v>196</v>
      </c>
      <c r="B148" s="4">
        <v>46178</v>
      </c>
      <c r="C148" t="s">
        <v>36</v>
      </c>
      <c r="D148" t="s">
        <v>37</v>
      </c>
      <c r="E148" t="s">
        <v>38</v>
      </c>
      <c r="F148" t="s">
        <v>39</v>
      </c>
      <c r="G148" t="s">
        <v>43</v>
      </c>
      <c r="H148">
        <v>2</v>
      </c>
      <c r="I148" s="5">
        <v>366640</v>
      </c>
      <c r="J148" s="5">
        <v>60019</v>
      </c>
      <c r="K148" s="5">
        <v>306621</v>
      </c>
      <c r="L148" s="5">
        <v>214857</v>
      </c>
      <c r="M148" s="5">
        <v>23067</v>
      </c>
      <c r="N148" s="5">
        <v>0</v>
      </c>
      <c r="O148" s="5">
        <v>47655</v>
      </c>
      <c r="P148" s="5">
        <v>21042</v>
      </c>
      <c r="Q148">
        <v>4</v>
      </c>
      <c r="R148" t="s">
        <v>41</v>
      </c>
    </row>
    <row r="149" spans="1:18">
      <c r="A149" t="s">
        <v>197</v>
      </c>
      <c r="B149" s="4">
        <v>46178</v>
      </c>
      <c r="C149" t="s">
        <v>36</v>
      </c>
      <c r="D149" t="s">
        <v>37</v>
      </c>
      <c r="E149" t="s">
        <v>55</v>
      </c>
      <c r="F149" t="s">
        <v>49</v>
      </c>
      <c r="G149" t="s">
        <v>43</v>
      </c>
      <c r="H149">
        <v>4</v>
      </c>
      <c r="I149" s="5">
        <v>391058</v>
      </c>
      <c r="J149" s="5">
        <v>28194</v>
      </c>
      <c r="K149" s="5">
        <v>362864</v>
      </c>
      <c r="L149" s="5">
        <v>246920</v>
      </c>
      <c r="M149" s="5">
        <v>27359</v>
      </c>
      <c r="N149" s="5">
        <v>0</v>
      </c>
      <c r="O149" s="5">
        <v>52407</v>
      </c>
      <c r="P149" s="5">
        <v>36178</v>
      </c>
      <c r="Q149">
        <v>4</v>
      </c>
      <c r="R149" t="s">
        <v>41</v>
      </c>
    </row>
    <row r="150" spans="1:18">
      <c r="A150" t="s">
        <v>198</v>
      </c>
      <c r="B150" s="4">
        <v>46201</v>
      </c>
      <c r="C150" t="s">
        <v>36</v>
      </c>
      <c r="D150" t="s">
        <v>37</v>
      </c>
      <c r="E150" t="s">
        <v>59</v>
      </c>
      <c r="F150" t="s">
        <v>49</v>
      </c>
      <c r="G150" t="s">
        <v>43</v>
      </c>
      <c r="H150">
        <v>3</v>
      </c>
      <c r="I150" s="5">
        <v>235997</v>
      </c>
      <c r="J150" s="5">
        <v>29138</v>
      </c>
      <c r="K150" s="5">
        <v>206859</v>
      </c>
      <c r="L150" s="5">
        <v>128821</v>
      </c>
      <c r="M150" s="5">
        <v>17253</v>
      </c>
      <c r="N150" s="5">
        <v>0</v>
      </c>
      <c r="O150" s="5">
        <v>27858</v>
      </c>
      <c r="P150" s="5">
        <v>32927</v>
      </c>
      <c r="Q150">
        <v>2</v>
      </c>
      <c r="R150" t="s">
        <v>41</v>
      </c>
    </row>
    <row r="151" spans="1:18">
      <c r="A151" t="s">
        <v>199</v>
      </c>
      <c r="B151" s="4">
        <v>46187</v>
      </c>
      <c r="C151" t="s">
        <v>36</v>
      </c>
      <c r="D151" t="s">
        <v>37</v>
      </c>
      <c r="E151" t="s">
        <v>55</v>
      </c>
      <c r="F151" t="s">
        <v>51</v>
      </c>
      <c r="G151" t="s">
        <v>43</v>
      </c>
      <c r="H151">
        <v>2</v>
      </c>
      <c r="I151" s="5">
        <v>288483</v>
      </c>
      <c r="J151" s="5">
        <v>49004</v>
      </c>
      <c r="K151" s="5">
        <v>239479</v>
      </c>
      <c r="L151" s="5">
        <v>153711</v>
      </c>
      <c r="M151" s="5">
        <v>17035</v>
      </c>
      <c r="N151" s="5">
        <v>0</v>
      </c>
      <c r="O151" s="5">
        <v>34243</v>
      </c>
      <c r="P151" s="5">
        <v>34490</v>
      </c>
      <c r="Q151">
        <v>3</v>
      </c>
      <c r="R151" t="s">
        <v>41</v>
      </c>
    </row>
    <row r="152" spans="1:18">
      <c r="A152" t="s">
        <v>200</v>
      </c>
      <c r="B152" s="4">
        <v>46169</v>
      </c>
      <c r="C152" t="s">
        <v>36</v>
      </c>
      <c r="D152" t="s">
        <v>37</v>
      </c>
      <c r="E152" t="s">
        <v>45</v>
      </c>
      <c r="F152" t="s">
        <v>46</v>
      </c>
      <c r="G152" t="s">
        <v>40</v>
      </c>
      <c r="H152">
        <v>4</v>
      </c>
      <c r="I152" s="5">
        <v>502029</v>
      </c>
      <c r="J152" s="5">
        <v>60918</v>
      </c>
      <c r="K152" s="5">
        <v>441111</v>
      </c>
      <c r="L152" s="5">
        <v>298442</v>
      </c>
      <c r="M152" s="5">
        <v>35909</v>
      </c>
      <c r="N152" s="5">
        <v>0</v>
      </c>
      <c r="O152" s="5">
        <v>73618</v>
      </c>
      <c r="P152" s="5">
        <v>33142</v>
      </c>
      <c r="Q152">
        <v>2</v>
      </c>
      <c r="R152" t="s">
        <v>41</v>
      </c>
    </row>
    <row r="153" spans="1:18">
      <c r="A153" t="s">
        <v>201</v>
      </c>
      <c r="B153" s="4">
        <v>46120</v>
      </c>
      <c r="C153" t="s">
        <v>36</v>
      </c>
      <c r="D153" t="s">
        <v>37</v>
      </c>
      <c r="E153" t="s">
        <v>38</v>
      </c>
      <c r="F153" t="s">
        <v>49</v>
      </c>
      <c r="G153" t="s">
        <v>40</v>
      </c>
      <c r="H153">
        <v>5</v>
      </c>
      <c r="I153" s="5">
        <v>375630</v>
      </c>
      <c r="J153" s="5">
        <v>36384</v>
      </c>
      <c r="K153" s="5">
        <v>339246</v>
      </c>
      <c r="L153" s="5">
        <v>239811</v>
      </c>
      <c r="M153" s="5">
        <v>30968</v>
      </c>
      <c r="N153" s="5">
        <v>0</v>
      </c>
      <c r="O153" s="5">
        <v>49078</v>
      </c>
      <c r="P153" s="5">
        <v>19389</v>
      </c>
      <c r="Q153">
        <v>2</v>
      </c>
      <c r="R153" t="s">
        <v>41</v>
      </c>
    </row>
    <row r="154" spans="1:18">
      <c r="A154" t="s">
        <v>202</v>
      </c>
      <c r="B154" s="4">
        <v>46181</v>
      </c>
      <c r="C154" t="s">
        <v>36</v>
      </c>
      <c r="D154" t="s">
        <v>37</v>
      </c>
      <c r="E154" t="s">
        <v>45</v>
      </c>
      <c r="F154" t="s">
        <v>49</v>
      </c>
      <c r="G154" t="s">
        <v>43</v>
      </c>
      <c r="H154">
        <v>6</v>
      </c>
      <c r="I154" s="5">
        <v>302998</v>
      </c>
      <c r="J154" s="5">
        <v>26232</v>
      </c>
      <c r="K154" s="5">
        <v>276766</v>
      </c>
      <c r="L154" s="5">
        <v>177615</v>
      </c>
      <c r="M154" s="5">
        <v>17717</v>
      </c>
      <c r="N154" s="5">
        <v>0</v>
      </c>
      <c r="O154" s="5">
        <v>48883</v>
      </c>
      <c r="P154" s="5">
        <v>32551</v>
      </c>
      <c r="Q154">
        <v>5</v>
      </c>
      <c r="R154" t="s">
        <v>41</v>
      </c>
    </row>
    <row r="155" spans="1:18">
      <c r="A155" t="s">
        <v>203</v>
      </c>
      <c r="B155" s="4">
        <v>46137</v>
      </c>
      <c r="C155" t="s">
        <v>36</v>
      </c>
      <c r="D155" t="s">
        <v>37</v>
      </c>
      <c r="E155" t="s">
        <v>38</v>
      </c>
      <c r="F155" t="s">
        <v>39</v>
      </c>
      <c r="G155" t="s">
        <v>43</v>
      </c>
      <c r="H155">
        <v>2</v>
      </c>
      <c r="I155" s="5">
        <v>340262</v>
      </c>
      <c r="J155" s="5">
        <v>40049</v>
      </c>
      <c r="K155" s="5">
        <v>300213</v>
      </c>
      <c r="L155" s="5">
        <v>210180</v>
      </c>
      <c r="M155" s="5">
        <v>24989</v>
      </c>
      <c r="N155" s="5">
        <v>0</v>
      </c>
      <c r="O155" s="5">
        <v>49668</v>
      </c>
      <c r="P155" s="5">
        <v>15376</v>
      </c>
      <c r="Q155">
        <v>1</v>
      </c>
      <c r="R155" t="s">
        <v>41</v>
      </c>
    </row>
    <row r="156" spans="1:18">
      <c r="A156" t="s">
        <v>204</v>
      </c>
      <c r="B156" s="4">
        <v>46175</v>
      </c>
      <c r="C156" t="s">
        <v>36</v>
      </c>
      <c r="D156" t="s">
        <v>37</v>
      </c>
      <c r="E156" t="s">
        <v>45</v>
      </c>
      <c r="F156" t="s">
        <v>46</v>
      </c>
      <c r="G156" t="s">
        <v>43</v>
      </c>
      <c r="H156">
        <v>5</v>
      </c>
      <c r="I156" s="5">
        <v>229807</v>
      </c>
      <c r="J156" s="5">
        <v>46593</v>
      </c>
      <c r="K156" s="5">
        <v>183214</v>
      </c>
      <c r="L156" s="5">
        <v>111300</v>
      </c>
      <c r="M156" s="5">
        <v>13098</v>
      </c>
      <c r="N156" s="5">
        <v>0</v>
      </c>
      <c r="O156" s="5">
        <v>24121</v>
      </c>
      <c r="P156" s="5">
        <v>34695</v>
      </c>
      <c r="Q156">
        <v>2</v>
      </c>
      <c r="R156" t="s">
        <v>41</v>
      </c>
    </row>
    <row r="157" spans="1:18">
      <c r="A157" t="s">
        <v>205</v>
      </c>
      <c r="B157" s="4">
        <v>46161</v>
      </c>
      <c r="C157" t="s">
        <v>36</v>
      </c>
      <c r="D157" t="s">
        <v>37</v>
      </c>
      <c r="E157" t="s">
        <v>55</v>
      </c>
      <c r="F157" t="s">
        <v>39</v>
      </c>
      <c r="G157" t="s">
        <v>40</v>
      </c>
      <c r="H157">
        <v>3</v>
      </c>
      <c r="I157" s="5">
        <v>256675</v>
      </c>
      <c r="J157" s="5">
        <v>42869</v>
      </c>
      <c r="K157" s="5">
        <v>213806</v>
      </c>
      <c r="L157" s="5">
        <v>126445</v>
      </c>
      <c r="M157" s="5">
        <v>11642</v>
      </c>
      <c r="N157" s="5">
        <v>0</v>
      </c>
      <c r="O157" s="5">
        <v>41367</v>
      </c>
      <c r="P157" s="5">
        <v>34352</v>
      </c>
      <c r="Q157">
        <v>2</v>
      </c>
      <c r="R157" t="s">
        <v>41</v>
      </c>
    </row>
    <row r="158" spans="1:18">
      <c r="A158" t="s">
        <v>206</v>
      </c>
      <c r="B158" s="4">
        <v>46174</v>
      </c>
      <c r="C158" t="s">
        <v>36</v>
      </c>
      <c r="D158" t="s">
        <v>37</v>
      </c>
      <c r="E158" t="s">
        <v>38</v>
      </c>
      <c r="F158" t="s">
        <v>51</v>
      </c>
      <c r="G158" t="s">
        <v>43</v>
      </c>
      <c r="H158">
        <v>5</v>
      </c>
      <c r="I158" s="5">
        <v>306861</v>
      </c>
      <c r="J158" s="5">
        <v>59602</v>
      </c>
      <c r="K158" s="5">
        <v>247259</v>
      </c>
      <c r="L158" s="5">
        <v>157343</v>
      </c>
      <c r="M158" s="5">
        <v>22203</v>
      </c>
      <c r="N158" s="5">
        <v>0</v>
      </c>
      <c r="O158" s="5">
        <v>49446</v>
      </c>
      <c r="P158" s="5">
        <v>18267</v>
      </c>
      <c r="Q158">
        <v>4</v>
      </c>
      <c r="R158" t="s">
        <v>41</v>
      </c>
    </row>
    <row r="159" spans="1:18">
      <c r="A159" t="s">
        <v>207</v>
      </c>
      <c r="B159" s="4">
        <v>46198</v>
      </c>
      <c r="C159" t="s">
        <v>36</v>
      </c>
      <c r="D159" t="s">
        <v>37</v>
      </c>
      <c r="E159" t="s">
        <v>38</v>
      </c>
      <c r="F159" t="s">
        <v>51</v>
      </c>
      <c r="G159" t="s">
        <v>40</v>
      </c>
      <c r="H159">
        <v>1</v>
      </c>
      <c r="I159" s="5">
        <v>358225</v>
      </c>
      <c r="J159" s="5">
        <v>37144</v>
      </c>
      <c r="K159" s="5">
        <v>321081</v>
      </c>
      <c r="L159" s="5">
        <v>211644</v>
      </c>
      <c r="M159" s="5">
        <v>24022</v>
      </c>
      <c r="N159" s="5">
        <v>0</v>
      </c>
      <c r="O159" s="5">
        <v>52125</v>
      </c>
      <c r="P159" s="5">
        <v>33290</v>
      </c>
      <c r="Q159">
        <v>2</v>
      </c>
      <c r="R159" t="s">
        <v>41</v>
      </c>
    </row>
    <row r="160" spans="1:18">
      <c r="A160" t="s">
        <v>208</v>
      </c>
      <c r="B160" s="4">
        <v>46133</v>
      </c>
      <c r="C160" t="s">
        <v>36</v>
      </c>
      <c r="D160" t="s">
        <v>37</v>
      </c>
      <c r="E160" t="s">
        <v>55</v>
      </c>
      <c r="F160" t="s">
        <v>46</v>
      </c>
      <c r="G160" t="s">
        <v>43</v>
      </c>
      <c r="H160">
        <v>6</v>
      </c>
      <c r="I160" s="5">
        <v>229743</v>
      </c>
      <c r="J160" s="5">
        <v>14339</v>
      </c>
      <c r="K160" s="5">
        <v>215404</v>
      </c>
      <c r="L160" s="5">
        <v>131693</v>
      </c>
      <c r="M160" s="5">
        <v>17359</v>
      </c>
      <c r="N160" s="5">
        <v>9941</v>
      </c>
      <c r="O160" s="5">
        <v>32130</v>
      </c>
      <c r="P160" s="5">
        <v>24281</v>
      </c>
      <c r="Q160">
        <v>4</v>
      </c>
      <c r="R160" t="s">
        <v>53</v>
      </c>
    </row>
    <row r="161" spans="1:18">
      <c r="A161" t="s">
        <v>209</v>
      </c>
      <c r="B161" s="4">
        <v>46124</v>
      </c>
      <c r="C161" t="s">
        <v>36</v>
      </c>
      <c r="D161" t="s">
        <v>37</v>
      </c>
      <c r="E161" t="s">
        <v>38</v>
      </c>
      <c r="F161" t="s">
        <v>49</v>
      </c>
      <c r="G161" t="s">
        <v>40</v>
      </c>
      <c r="H161">
        <v>2</v>
      </c>
      <c r="I161" s="5">
        <v>246550</v>
      </c>
      <c r="J161" s="5">
        <v>34066</v>
      </c>
      <c r="K161" s="5">
        <v>212484</v>
      </c>
      <c r="L161" s="5">
        <v>136198</v>
      </c>
      <c r="M161" s="5">
        <v>16491</v>
      </c>
      <c r="N161" s="5">
        <v>0</v>
      </c>
      <c r="O161" s="5">
        <v>39436</v>
      </c>
      <c r="P161" s="5">
        <v>20359</v>
      </c>
      <c r="Q161">
        <v>7</v>
      </c>
      <c r="R161" t="s">
        <v>41</v>
      </c>
    </row>
    <row r="162" spans="1:18">
      <c r="A162" t="s">
        <v>210</v>
      </c>
      <c r="B162" s="4">
        <v>46176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>
        <v>1</v>
      </c>
      <c r="I162" s="5">
        <v>177691</v>
      </c>
      <c r="J162" s="5">
        <v>9232</v>
      </c>
      <c r="K162" s="5">
        <v>168459</v>
      </c>
      <c r="L162" s="5">
        <v>103686</v>
      </c>
      <c r="M162" s="5">
        <v>8339</v>
      </c>
      <c r="N162" s="5">
        <v>0</v>
      </c>
      <c r="O162" s="5">
        <v>23681</v>
      </c>
      <c r="P162" s="5">
        <v>32753</v>
      </c>
      <c r="Q162">
        <v>5</v>
      </c>
      <c r="R162" t="s">
        <v>41</v>
      </c>
    </row>
    <row r="163" spans="1:18">
      <c r="A163" t="s">
        <v>211</v>
      </c>
      <c r="B163" s="4">
        <v>46195</v>
      </c>
      <c r="C163" t="s">
        <v>36</v>
      </c>
      <c r="D163" t="s">
        <v>37</v>
      </c>
      <c r="E163" t="s">
        <v>55</v>
      </c>
      <c r="F163" t="s">
        <v>51</v>
      </c>
      <c r="G163" t="s">
        <v>43</v>
      </c>
      <c r="H163">
        <v>3</v>
      </c>
      <c r="I163" s="5">
        <v>369047</v>
      </c>
      <c r="J163" s="5">
        <v>35340</v>
      </c>
      <c r="K163" s="5">
        <v>333707</v>
      </c>
      <c r="L163" s="5">
        <v>240758</v>
      </c>
      <c r="M163" s="5">
        <v>23144</v>
      </c>
      <c r="N163" s="5">
        <v>0</v>
      </c>
      <c r="O163" s="5">
        <v>51408</v>
      </c>
      <c r="P163" s="5">
        <v>18397</v>
      </c>
      <c r="Q163">
        <v>5</v>
      </c>
      <c r="R163" t="s">
        <v>41</v>
      </c>
    </row>
    <row r="164" spans="1:18">
      <c r="A164" t="s">
        <v>212</v>
      </c>
      <c r="B164" s="4">
        <v>46136</v>
      </c>
      <c r="C164" t="s">
        <v>36</v>
      </c>
      <c r="D164" t="s">
        <v>37</v>
      </c>
      <c r="E164" t="s">
        <v>59</v>
      </c>
      <c r="F164" t="s">
        <v>39</v>
      </c>
      <c r="G164" t="s">
        <v>43</v>
      </c>
      <c r="H164">
        <v>5</v>
      </c>
      <c r="I164" s="5">
        <v>243283</v>
      </c>
      <c r="J164" s="5">
        <v>28225</v>
      </c>
      <c r="K164" s="5">
        <v>215058</v>
      </c>
      <c r="L164" s="5">
        <v>140187</v>
      </c>
      <c r="M164" s="5">
        <v>15813</v>
      </c>
      <c r="N164" s="5">
        <v>0</v>
      </c>
      <c r="O164" s="5">
        <v>45817</v>
      </c>
      <c r="P164" s="5">
        <v>13241</v>
      </c>
      <c r="Q164">
        <v>4</v>
      </c>
      <c r="R164" t="s">
        <v>41</v>
      </c>
    </row>
    <row r="165" spans="1:18">
      <c r="A165" t="s">
        <v>213</v>
      </c>
      <c r="B165" s="4">
        <v>46167</v>
      </c>
      <c r="C165" t="s">
        <v>36</v>
      </c>
      <c r="D165" t="s">
        <v>37</v>
      </c>
      <c r="E165" t="s">
        <v>45</v>
      </c>
      <c r="F165" t="s">
        <v>61</v>
      </c>
      <c r="G165" t="s">
        <v>43</v>
      </c>
      <c r="H165">
        <v>6</v>
      </c>
      <c r="I165" s="5">
        <v>460460</v>
      </c>
      <c r="J165" s="5">
        <v>45822</v>
      </c>
      <c r="K165" s="5">
        <v>414638</v>
      </c>
      <c r="L165" s="5">
        <v>291871</v>
      </c>
      <c r="M165" s="5">
        <v>33972</v>
      </c>
      <c r="N165" s="5">
        <v>0</v>
      </c>
      <c r="O165" s="5">
        <v>71269</v>
      </c>
      <c r="P165" s="5">
        <v>17526</v>
      </c>
      <c r="Q165">
        <v>2</v>
      </c>
      <c r="R165" t="s">
        <v>41</v>
      </c>
    </row>
    <row r="166" spans="1:18">
      <c r="A166" t="s">
        <v>214</v>
      </c>
      <c r="B166" s="4">
        <v>46170</v>
      </c>
      <c r="C166" t="s">
        <v>36</v>
      </c>
      <c r="D166" t="s">
        <v>37</v>
      </c>
      <c r="E166" t="s">
        <v>45</v>
      </c>
      <c r="F166" t="s">
        <v>39</v>
      </c>
      <c r="G166" t="s">
        <v>43</v>
      </c>
      <c r="H166">
        <v>5</v>
      </c>
      <c r="I166" s="5">
        <v>496290</v>
      </c>
      <c r="J166" s="5">
        <v>95160</v>
      </c>
      <c r="K166" s="5">
        <v>401130</v>
      </c>
      <c r="L166" s="5">
        <v>274864</v>
      </c>
      <c r="M166" s="5">
        <v>37042</v>
      </c>
      <c r="N166" s="5">
        <v>17238</v>
      </c>
      <c r="O166" s="5">
        <v>51044</v>
      </c>
      <c r="P166" s="5">
        <v>20942</v>
      </c>
      <c r="Q166">
        <v>5</v>
      </c>
      <c r="R166" t="s">
        <v>53</v>
      </c>
    </row>
    <row r="167" spans="1:18">
      <c r="A167" t="s">
        <v>215</v>
      </c>
      <c r="B167" s="4">
        <v>46152</v>
      </c>
      <c r="C167" t="s">
        <v>36</v>
      </c>
      <c r="D167" t="s">
        <v>37</v>
      </c>
      <c r="E167" t="s">
        <v>38</v>
      </c>
      <c r="F167" t="s">
        <v>46</v>
      </c>
      <c r="G167" t="s">
        <v>43</v>
      </c>
      <c r="H167">
        <v>6</v>
      </c>
      <c r="I167" s="5">
        <v>189044</v>
      </c>
      <c r="J167" s="5">
        <v>20625</v>
      </c>
      <c r="K167" s="5">
        <v>168419</v>
      </c>
      <c r="L167" s="5">
        <v>99547</v>
      </c>
      <c r="M167" s="5">
        <v>11817</v>
      </c>
      <c r="N167" s="5">
        <v>4679</v>
      </c>
      <c r="O167" s="5">
        <v>18693</v>
      </c>
      <c r="P167" s="5">
        <v>33683</v>
      </c>
      <c r="Q167">
        <v>3</v>
      </c>
      <c r="R167" t="s">
        <v>53</v>
      </c>
    </row>
    <row r="168" spans="1:18">
      <c r="A168" t="s">
        <v>216</v>
      </c>
      <c r="B168" s="4">
        <v>46130</v>
      </c>
      <c r="C168" t="s">
        <v>36</v>
      </c>
      <c r="D168" t="s">
        <v>37</v>
      </c>
      <c r="E168" t="s">
        <v>55</v>
      </c>
      <c r="F168" t="s">
        <v>51</v>
      </c>
      <c r="G168" t="s">
        <v>43</v>
      </c>
      <c r="H168">
        <v>6</v>
      </c>
      <c r="I168" s="5">
        <v>261591</v>
      </c>
      <c r="J168" s="5">
        <v>43859</v>
      </c>
      <c r="K168" s="5">
        <v>217732</v>
      </c>
      <c r="L168" s="5">
        <v>127633</v>
      </c>
      <c r="M168" s="5">
        <v>15279</v>
      </c>
      <c r="N168" s="5">
        <v>0</v>
      </c>
      <c r="O168" s="5">
        <v>37730</v>
      </c>
      <c r="P168" s="5">
        <v>37090</v>
      </c>
      <c r="Q168">
        <v>5</v>
      </c>
      <c r="R168" t="s">
        <v>41</v>
      </c>
    </row>
    <row r="169" spans="1:18">
      <c r="A169" t="s">
        <v>217</v>
      </c>
      <c r="B169" s="4">
        <v>46198</v>
      </c>
      <c r="C169" t="s">
        <v>36</v>
      </c>
      <c r="D169" t="s">
        <v>37</v>
      </c>
      <c r="E169" t="s">
        <v>38</v>
      </c>
      <c r="F169" t="s">
        <v>51</v>
      </c>
      <c r="G169" t="s">
        <v>40</v>
      </c>
      <c r="H169">
        <v>5</v>
      </c>
      <c r="I169" s="5">
        <v>402791</v>
      </c>
      <c r="J169" s="5">
        <v>57910</v>
      </c>
      <c r="K169" s="5">
        <v>344881</v>
      </c>
      <c r="L169" s="5">
        <v>241666</v>
      </c>
      <c r="M169" s="5">
        <v>31383</v>
      </c>
      <c r="N169" s="5">
        <v>0</v>
      </c>
      <c r="O169" s="5">
        <v>52132</v>
      </c>
      <c r="P169" s="5">
        <v>19700</v>
      </c>
      <c r="Q169">
        <v>3</v>
      </c>
      <c r="R169" t="s">
        <v>41</v>
      </c>
    </row>
    <row r="170" spans="1:18">
      <c r="A170" t="s">
        <v>218</v>
      </c>
      <c r="B170" s="4">
        <v>46177</v>
      </c>
      <c r="C170" t="s">
        <v>36</v>
      </c>
      <c r="D170" t="s">
        <v>37</v>
      </c>
      <c r="E170" t="s">
        <v>38</v>
      </c>
      <c r="F170" t="s">
        <v>49</v>
      </c>
      <c r="G170" t="s">
        <v>40</v>
      </c>
      <c r="H170">
        <v>2</v>
      </c>
      <c r="I170" s="5">
        <v>223797</v>
      </c>
      <c r="J170" s="5">
        <v>13077</v>
      </c>
      <c r="K170" s="5">
        <v>210720</v>
      </c>
      <c r="L170" s="5">
        <v>124941</v>
      </c>
      <c r="M170" s="5">
        <v>15015</v>
      </c>
      <c r="N170" s="5">
        <v>9439</v>
      </c>
      <c r="O170" s="5">
        <v>32463</v>
      </c>
      <c r="P170" s="5">
        <v>28862</v>
      </c>
      <c r="Q170">
        <v>4</v>
      </c>
      <c r="R170" t="s">
        <v>53</v>
      </c>
    </row>
    <row r="171" spans="1:18">
      <c r="A171" t="s">
        <v>219</v>
      </c>
      <c r="B171" s="4">
        <v>46124</v>
      </c>
      <c r="C171" t="s">
        <v>36</v>
      </c>
      <c r="D171" t="s">
        <v>37</v>
      </c>
      <c r="E171" t="s">
        <v>55</v>
      </c>
      <c r="F171" t="s">
        <v>61</v>
      </c>
      <c r="G171" t="s">
        <v>43</v>
      </c>
      <c r="H171">
        <v>2</v>
      </c>
      <c r="I171" s="5">
        <v>205001</v>
      </c>
      <c r="J171" s="5">
        <v>18451</v>
      </c>
      <c r="K171" s="5">
        <v>186550</v>
      </c>
      <c r="L171" s="5">
        <v>113098</v>
      </c>
      <c r="M171" s="5">
        <v>11173</v>
      </c>
      <c r="N171" s="5">
        <v>0</v>
      </c>
      <c r="O171" s="5">
        <v>39531</v>
      </c>
      <c r="P171" s="5">
        <v>22748</v>
      </c>
      <c r="Q171">
        <v>5</v>
      </c>
      <c r="R171" t="s">
        <v>41</v>
      </c>
    </row>
    <row r="172" spans="1:18">
      <c r="A172" t="s">
        <v>220</v>
      </c>
      <c r="B172" s="4">
        <v>46115</v>
      </c>
      <c r="C172" t="s">
        <v>36</v>
      </c>
      <c r="D172" t="s">
        <v>37</v>
      </c>
      <c r="E172" t="s">
        <v>55</v>
      </c>
      <c r="F172" t="s">
        <v>39</v>
      </c>
      <c r="G172" t="s">
        <v>40</v>
      </c>
      <c r="H172">
        <v>6</v>
      </c>
      <c r="I172" s="5">
        <v>456114</v>
      </c>
      <c r="J172" s="5">
        <v>32597</v>
      </c>
      <c r="K172" s="5">
        <v>423517</v>
      </c>
      <c r="L172" s="5">
        <v>264530</v>
      </c>
      <c r="M172" s="5">
        <v>30304</v>
      </c>
      <c r="N172" s="5">
        <v>0</v>
      </c>
      <c r="O172" s="5">
        <v>91232</v>
      </c>
      <c r="P172" s="5">
        <v>37451</v>
      </c>
      <c r="Q172">
        <v>3</v>
      </c>
      <c r="R172" t="s">
        <v>41</v>
      </c>
    </row>
    <row r="173" spans="1:18">
      <c r="A173" t="s">
        <v>221</v>
      </c>
      <c r="B173" s="4">
        <v>46120</v>
      </c>
      <c r="C173" t="s">
        <v>36</v>
      </c>
      <c r="D173" t="s">
        <v>37</v>
      </c>
      <c r="E173" t="s">
        <v>59</v>
      </c>
      <c r="F173" t="s">
        <v>46</v>
      </c>
      <c r="G173" t="s">
        <v>40</v>
      </c>
      <c r="H173">
        <v>3</v>
      </c>
      <c r="I173" s="5">
        <v>356135</v>
      </c>
      <c r="J173" s="5">
        <v>40147</v>
      </c>
      <c r="K173" s="5">
        <v>315988</v>
      </c>
      <c r="L173" s="5">
        <v>208105</v>
      </c>
      <c r="M173" s="5">
        <v>25505</v>
      </c>
      <c r="N173" s="5">
        <v>0</v>
      </c>
      <c r="O173" s="5">
        <v>56177</v>
      </c>
      <c r="P173" s="5">
        <v>26201</v>
      </c>
      <c r="Q173">
        <v>4</v>
      </c>
      <c r="R173" t="s">
        <v>41</v>
      </c>
    </row>
    <row r="174" spans="1:18">
      <c r="A174" t="s">
        <v>222</v>
      </c>
      <c r="B174" s="4">
        <v>46166</v>
      </c>
      <c r="C174" t="s">
        <v>36</v>
      </c>
      <c r="D174" t="s">
        <v>37</v>
      </c>
      <c r="E174" t="s">
        <v>45</v>
      </c>
      <c r="F174" t="s">
        <v>46</v>
      </c>
      <c r="G174" t="s">
        <v>43</v>
      </c>
      <c r="H174">
        <v>4</v>
      </c>
      <c r="I174" s="5">
        <v>305166</v>
      </c>
      <c r="J174" s="5">
        <v>18201</v>
      </c>
      <c r="K174" s="5">
        <v>286965</v>
      </c>
      <c r="L174" s="5">
        <v>187661</v>
      </c>
      <c r="M174" s="5">
        <v>24840</v>
      </c>
      <c r="N174" s="5">
        <v>0</v>
      </c>
      <c r="O174" s="5">
        <v>38073</v>
      </c>
      <c r="P174" s="5">
        <v>36391</v>
      </c>
      <c r="Q174">
        <v>4</v>
      </c>
      <c r="R174" t="s">
        <v>41</v>
      </c>
    </row>
    <row r="175" spans="1:18">
      <c r="A175" t="s">
        <v>223</v>
      </c>
      <c r="B175" s="4">
        <v>46157</v>
      </c>
      <c r="C175" t="s">
        <v>36</v>
      </c>
      <c r="D175" t="s">
        <v>37</v>
      </c>
      <c r="E175" t="s">
        <v>59</v>
      </c>
      <c r="F175" t="s">
        <v>51</v>
      </c>
      <c r="G175" t="s">
        <v>43</v>
      </c>
      <c r="H175">
        <v>5</v>
      </c>
      <c r="I175" s="5">
        <v>408557</v>
      </c>
      <c r="J175" s="5">
        <v>29558</v>
      </c>
      <c r="K175" s="5">
        <v>378999</v>
      </c>
      <c r="L175" s="5">
        <v>268786</v>
      </c>
      <c r="M175" s="5">
        <v>29646</v>
      </c>
      <c r="N175" s="5">
        <v>0</v>
      </c>
      <c r="O175" s="5">
        <v>65008</v>
      </c>
      <c r="P175" s="5">
        <v>15559</v>
      </c>
      <c r="Q175">
        <v>5</v>
      </c>
      <c r="R175" t="s">
        <v>41</v>
      </c>
    </row>
    <row r="176" spans="1:18">
      <c r="A176" t="s">
        <v>224</v>
      </c>
      <c r="B176" s="4">
        <v>46172</v>
      </c>
      <c r="C176" t="s">
        <v>36</v>
      </c>
      <c r="D176" t="s">
        <v>37</v>
      </c>
      <c r="E176" t="s">
        <v>55</v>
      </c>
      <c r="F176" t="s">
        <v>49</v>
      </c>
      <c r="G176" t="s">
        <v>43</v>
      </c>
      <c r="H176">
        <v>2</v>
      </c>
      <c r="I176" s="5">
        <v>469084</v>
      </c>
      <c r="J176" s="5">
        <v>83336</v>
      </c>
      <c r="K176" s="5">
        <v>385748</v>
      </c>
      <c r="L176" s="5">
        <v>263216</v>
      </c>
      <c r="M176" s="5">
        <v>31457</v>
      </c>
      <c r="N176" s="5">
        <v>0</v>
      </c>
      <c r="O176" s="5">
        <v>53896</v>
      </c>
      <c r="P176" s="5">
        <v>37179</v>
      </c>
      <c r="Q176">
        <v>6</v>
      </c>
      <c r="R176" t="s">
        <v>41</v>
      </c>
    </row>
    <row r="177" spans="1:18">
      <c r="A177" t="s">
        <v>225</v>
      </c>
      <c r="B177" s="4">
        <v>46127</v>
      </c>
      <c r="C177" t="s">
        <v>36</v>
      </c>
      <c r="D177" t="s">
        <v>37</v>
      </c>
      <c r="E177" t="s">
        <v>59</v>
      </c>
      <c r="F177" t="s">
        <v>46</v>
      </c>
      <c r="G177" t="s">
        <v>40</v>
      </c>
      <c r="H177">
        <v>2</v>
      </c>
      <c r="I177" s="5">
        <v>228995</v>
      </c>
      <c r="J177" s="5">
        <v>25305</v>
      </c>
      <c r="K177" s="5">
        <v>203690</v>
      </c>
      <c r="L177" s="5">
        <v>131470</v>
      </c>
      <c r="M177" s="5">
        <v>18186</v>
      </c>
      <c r="N177" s="5">
        <v>0</v>
      </c>
      <c r="O177" s="5">
        <v>36877</v>
      </c>
      <c r="P177" s="5">
        <v>17157</v>
      </c>
      <c r="Q177">
        <v>4</v>
      </c>
      <c r="R177" t="s">
        <v>41</v>
      </c>
    </row>
    <row r="178" spans="1:18">
      <c r="A178" t="s">
        <v>226</v>
      </c>
      <c r="B178" s="4">
        <v>46119</v>
      </c>
      <c r="C178" t="s">
        <v>36</v>
      </c>
      <c r="D178" t="s">
        <v>37</v>
      </c>
      <c r="E178" t="s">
        <v>38</v>
      </c>
      <c r="F178" t="s">
        <v>61</v>
      </c>
      <c r="G178" t="s">
        <v>43</v>
      </c>
      <c r="H178">
        <v>4</v>
      </c>
      <c r="I178" s="5">
        <v>198860</v>
      </c>
      <c r="J178" s="5">
        <v>22749</v>
      </c>
      <c r="K178" s="5">
        <v>176111</v>
      </c>
      <c r="L178" s="5">
        <v>96230</v>
      </c>
      <c r="M178" s="5">
        <v>11822</v>
      </c>
      <c r="N178" s="5">
        <v>0</v>
      </c>
      <c r="O178" s="5">
        <v>32837</v>
      </c>
      <c r="P178" s="5">
        <v>35222</v>
      </c>
      <c r="Q178">
        <v>4</v>
      </c>
      <c r="R178" t="s">
        <v>41</v>
      </c>
    </row>
    <row r="179" spans="1:18">
      <c r="A179" t="s">
        <v>227</v>
      </c>
      <c r="B179" s="4">
        <v>46150</v>
      </c>
      <c r="C179" t="s">
        <v>36</v>
      </c>
      <c r="D179" t="s">
        <v>37</v>
      </c>
      <c r="E179" t="s">
        <v>38</v>
      </c>
      <c r="F179" t="s">
        <v>49</v>
      </c>
      <c r="G179" t="s">
        <v>43</v>
      </c>
      <c r="H179">
        <v>5</v>
      </c>
      <c r="I179" s="5">
        <v>309473</v>
      </c>
      <c r="J179" s="5">
        <v>34787</v>
      </c>
      <c r="K179" s="5">
        <v>274686</v>
      </c>
      <c r="L179" s="5">
        <v>193473</v>
      </c>
      <c r="M179" s="5">
        <v>15896</v>
      </c>
      <c r="N179" s="5">
        <v>0</v>
      </c>
      <c r="O179" s="5">
        <v>45962</v>
      </c>
      <c r="P179" s="5">
        <v>19355</v>
      </c>
      <c r="Q179">
        <v>4</v>
      </c>
      <c r="R179" t="s">
        <v>41</v>
      </c>
    </row>
    <row r="180" spans="1:18">
      <c r="A180" t="s">
        <v>228</v>
      </c>
      <c r="B180" s="4">
        <v>46197</v>
      </c>
      <c r="C180" t="s">
        <v>36</v>
      </c>
      <c r="D180" t="s">
        <v>37</v>
      </c>
      <c r="E180" t="s">
        <v>38</v>
      </c>
      <c r="F180" t="s">
        <v>46</v>
      </c>
      <c r="G180" t="s">
        <v>43</v>
      </c>
      <c r="H180">
        <v>3</v>
      </c>
      <c r="I180" s="5">
        <v>292141</v>
      </c>
      <c r="J180" s="5">
        <v>19659</v>
      </c>
      <c r="K180" s="5">
        <v>272482</v>
      </c>
      <c r="L180" s="5">
        <v>182247</v>
      </c>
      <c r="M180" s="5">
        <v>18529</v>
      </c>
      <c r="N180" s="5">
        <v>0</v>
      </c>
      <c r="O180" s="5">
        <v>56323</v>
      </c>
      <c r="P180" s="5">
        <v>15383</v>
      </c>
      <c r="Q180">
        <v>2</v>
      </c>
      <c r="R180" t="s">
        <v>41</v>
      </c>
    </row>
    <row r="181" spans="1:18">
      <c r="A181" t="s">
        <v>229</v>
      </c>
      <c r="B181" s="4">
        <v>46167</v>
      </c>
      <c r="C181" t="s">
        <v>36</v>
      </c>
      <c r="D181" t="s">
        <v>37</v>
      </c>
      <c r="E181" t="s">
        <v>55</v>
      </c>
      <c r="F181" t="s">
        <v>61</v>
      </c>
      <c r="G181" t="s">
        <v>43</v>
      </c>
      <c r="H181">
        <v>6</v>
      </c>
      <c r="I181" s="5">
        <v>351817</v>
      </c>
      <c r="J181" s="5">
        <v>66520</v>
      </c>
      <c r="K181" s="5">
        <v>285297</v>
      </c>
      <c r="L181" s="5">
        <v>198658</v>
      </c>
      <c r="M181" s="5">
        <v>25242</v>
      </c>
      <c r="N181" s="5">
        <v>0</v>
      </c>
      <c r="O181" s="5">
        <v>37777</v>
      </c>
      <c r="P181" s="5">
        <v>23620</v>
      </c>
      <c r="Q181">
        <v>4</v>
      </c>
      <c r="R181" t="s">
        <v>41</v>
      </c>
    </row>
    <row r="182" spans="1:18">
      <c r="A182" t="s">
        <v>230</v>
      </c>
      <c r="B182" s="4">
        <v>46199</v>
      </c>
      <c r="C182" t="s">
        <v>36</v>
      </c>
      <c r="D182" t="s">
        <v>231</v>
      </c>
      <c r="E182" t="s">
        <v>232</v>
      </c>
      <c r="F182" t="s">
        <v>39</v>
      </c>
      <c r="G182" t="s">
        <v>40</v>
      </c>
      <c r="H182">
        <v>4</v>
      </c>
      <c r="I182" s="5">
        <v>300531</v>
      </c>
      <c r="J182" s="5">
        <v>19290</v>
      </c>
      <c r="K182" s="5">
        <v>281241</v>
      </c>
      <c r="L182" s="5">
        <v>174670</v>
      </c>
      <c r="M182" s="5">
        <v>18577</v>
      </c>
      <c r="N182" s="5">
        <v>0</v>
      </c>
      <c r="O182" s="5">
        <v>45449</v>
      </c>
      <c r="P182" s="5">
        <v>42545</v>
      </c>
      <c r="Q182">
        <v>3</v>
      </c>
      <c r="R182" t="s">
        <v>41</v>
      </c>
    </row>
    <row r="183" spans="1:18">
      <c r="A183" t="s">
        <v>233</v>
      </c>
      <c r="B183" s="4">
        <v>46131</v>
      </c>
      <c r="C183" t="s">
        <v>36</v>
      </c>
      <c r="D183" t="s">
        <v>231</v>
      </c>
      <c r="E183" t="s">
        <v>234</v>
      </c>
      <c r="F183" t="s">
        <v>39</v>
      </c>
      <c r="G183" t="s">
        <v>43</v>
      </c>
      <c r="H183">
        <v>4</v>
      </c>
      <c r="I183" s="5">
        <v>358457</v>
      </c>
      <c r="J183" s="5">
        <v>49734</v>
      </c>
      <c r="K183" s="5">
        <v>308723</v>
      </c>
      <c r="L183" s="5">
        <v>218062</v>
      </c>
      <c r="M183" s="5">
        <v>18388</v>
      </c>
      <c r="N183" s="5">
        <v>0</v>
      </c>
      <c r="O183" s="5">
        <v>48020</v>
      </c>
      <c r="P183" s="5">
        <v>24253</v>
      </c>
      <c r="Q183">
        <v>4</v>
      </c>
      <c r="R183" t="s">
        <v>41</v>
      </c>
    </row>
    <row r="184" spans="1:18">
      <c r="A184" t="s">
        <v>235</v>
      </c>
      <c r="B184" s="4">
        <v>46170</v>
      </c>
      <c r="C184" t="s">
        <v>36</v>
      </c>
      <c r="D184" t="s">
        <v>231</v>
      </c>
      <c r="E184" t="s">
        <v>234</v>
      </c>
      <c r="F184" t="s">
        <v>61</v>
      </c>
      <c r="G184" t="s">
        <v>43</v>
      </c>
      <c r="H184">
        <v>1</v>
      </c>
      <c r="I184" s="5">
        <v>223151</v>
      </c>
      <c r="J184" s="5">
        <v>26572</v>
      </c>
      <c r="K184" s="5">
        <v>196579</v>
      </c>
      <c r="L184" s="5">
        <v>111869</v>
      </c>
      <c r="M184" s="5">
        <v>10049</v>
      </c>
      <c r="N184" s="5">
        <v>0</v>
      </c>
      <c r="O184" s="5">
        <v>35346</v>
      </c>
      <c r="P184" s="5">
        <v>39315</v>
      </c>
      <c r="Q184">
        <v>2</v>
      </c>
      <c r="R184" t="s">
        <v>41</v>
      </c>
    </row>
    <row r="185" spans="1:18">
      <c r="A185" t="s">
        <v>236</v>
      </c>
      <c r="B185" s="4">
        <v>46134</v>
      </c>
      <c r="C185" t="s">
        <v>36</v>
      </c>
      <c r="D185" t="s">
        <v>231</v>
      </c>
      <c r="E185" t="s">
        <v>232</v>
      </c>
      <c r="F185" t="s">
        <v>49</v>
      </c>
      <c r="G185" t="s">
        <v>40</v>
      </c>
      <c r="H185">
        <v>5</v>
      </c>
      <c r="I185" s="5">
        <v>248991</v>
      </c>
      <c r="J185" s="5">
        <v>28980</v>
      </c>
      <c r="K185" s="5">
        <v>220011</v>
      </c>
      <c r="L185" s="5">
        <v>141937</v>
      </c>
      <c r="M185" s="5">
        <v>16121</v>
      </c>
      <c r="N185" s="5">
        <v>0</v>
      </c>
      <c r="O185" s="5">
        <v>29584</v>
      </c>
      <c r="P185" s="5">
        <v>32369</v>
      </c>
      <c r="Q185">
        <v>3</v>
      </c>
      <c r="R185" t="s">
        <v>41</v>
      </c>
    </row>
    <row r="186" spans="1:18">
      <c r="A186" t="s">
        <v>237</v>
      </c>
      <c r="B186" s="4">
        <v>46136</v>
      </c>
      <c r="C186" t="s">
        <v>36</v>
      </c>
      <c r="D186" t="s">
        <v>231</v>
      </c>
      <c r="E186" t="s">
        <v>232</v>
      </c>
      <c r="F186" t="s">
        <v>46</v>
      </c>
      <c r="G186" t="s">
        <v>43</v>
      </c>
      <c r="H186">
        <v>1</v>
      </c>
      <c r="I186" s="5">
        <v>179996</v>
      </c>
      <c r="J186" s="5">
        <v>24118</v>
      </c>
      <c r="K186" s="5">
        <v>155878</v>
      </c>
      <c r="L186" s="5">
        <v>95555</v>
      </c>
      <c r="M186" s="5">
        <v>8638</v>
      </c>
      <c r="N186" s="5">
        <v>0</v>
      </c>
      <c r="O186" s="5">
        <v>20510</v>
      </c>
      <c r="P186" s="5">
        <v>31175</v>
      </c>
      <c r="Q186">
        <v>5</v>
      </c>
      <c r="R186" t="s">
        <v>41</v>
      </c>
    </row>
    <row r="187" spans="1:18">
      <c r="A187" t="s">
        <v>238</v>
      </c>
      <c r="B187" s="4">
        <v>46148</v>
      </c>
      <c r="C187" t="s">
        <v>36</v>
      </c>
      <c r="D187" t="s">
        <v>231</v>
      </c>
      <c r="E187" t="s">
        <v>239</v>
      </c>
      <c r="F187" t="s">
        <v>49</v>
      </c>
      <c r="G187" t="s">
        <v>40</v>
      </c>
      <c r="H187">
        <v>5</v>
      </c>
      <c r="I187" s="5">
        <v>234933</v>
      </c>
      <c r="J187" s="5">
        <v>24494</v>
      </c>
      <c r="K187" s="5">
        <v>210439</v>
      </c>
      <c r="L187" s="5">
        <v>125596</v>
      </c>
      <c r="M187" s="5">
        <v>13455</v>
      </c>
      <c r="N187" s="5">
        <v>6727</v>
      </c>
      <c r="O187" s="5">
        <v>28550</v>
      </c>
      <c r="P187" s="5">
        <v>36111</v>
      </c>
      <c r="Q187">
        <v>1</v>
      </c>
      <c r="R187" t="s">
        <v>53</v>
      </c>
    </row>
    <row r="188" spans="1:18">
      <c r="A188" t="s">
        <v>240</v>
      </c>
      <c r="B188" s="4">
        <v>46180</v>
      </c>
      <c r="C188" t="s">
        <v>36</v>
      </c>
      <c r="D188" t="s">
        <v>231</v>
      </c>
      <c r="E188" t="s">
        <v>234</v>
      </c>
      <c r="F188" t="s">
        <v>49</v>
      </c>
      <c r="G188" t="s">
        <v>43</v>
      </c>
      <c r="H188">
        <v>5</v>
      </c>
      <c r="I188" s="5">
        <v>343036</v>
      </c>
      <c r="J188" s="5">
        <v>41849</v>
      </c>
      <c r="K188" s="5">
        <v>301187</v>
      </c>
      <c r="L188" s="5">
        <v>197919</v>
      </c>
      <c r="M188" s="5">
        <v>19346</v>
      </c>
      <c r="N188" s="5">
        <v>0</v>
      </c>
      <c r="O188" s="5">
        <v>57173</v>
      </c>
      <c r="P188" s="5">
        <v>26749</v>
      </c>
      <c r="Q188">
        <v>4</v>
      </c>
      <c r="R188" t="s">
        <v>41</v>
      </c>
    </row>
    <row r="189" spans="1:18">
      <c r="A189" t="s">
        <v>241</v>
      </c>
      <c r="B189" s="4">
        <v>46199</v>
      </c>
      <c r="C189" t="s">
        <v>36</v>
      </c>
      <c r="D189" t="s">
        <v>231</v>
      </c>
      <c r="E189" t="s">
        <v>234</v>
      </c>
      <c r="F189" t="s">
        <v>49</v>
      </c>
      <c r="G189" t="s">
        <v>40</v>
      </c>
      <c r="H189">
        <v>6</v>
      </c>
      <c r="I189" s="5">
        <v>258721</v>
      </c>
      <c r="J189" s="5">
        <v>24978</v>
      </c>
      <c r="K189" s="5">
        <v>233743</v>
      </c>
      <c r="L189" s="5">
        <v>154123</v>
      </c>
      <c r="M189" s="5">
        <v>16960</v>
      </c>
      <c r="N189" s="5">
        <v>0</v>
      </c>
      <c r="O189" s="5">
        <v>45480</v>
      </c>
      <c r="P189" s="5">
        <v>17180</v>
      </c>
      <c r="Q189">
        <v>4</v>
      </c>
      <c r="R189" t="s">
        <v>41</v>
      </c>
    </row>
    <row r="190" spans="1:18">
      <c r="A190" t="s">
        <v>242</v>
      </c>
      <c r="B190" s="4">
        <v>46178</v>
      </c>
      <c r="C190" t="s">
        <v>36</v>
      </c>
      <c r="D190" t="s">
        <v>231</v>
      </c>
      <c r="E190" t="s">
        <v>243</v>
      </c>
      <c r="F190" t="s">
        <v>46</v>
      </c>
      <c r="G190" t="s">
        <v>40</v>
      </c>
      <c r="H190">
        <v>5</v>
      </c>
      <c r="I190" s="5">
        <v>368861</v>
      </c>
      <c r="J190" s="5">
        <v>44882</v>
      </c>
      <c r="K190" s="5">
        <v>323979</v>
      </c>
      <c r="L190" s="5">
        <v>215254</v>
      </c>
      <c r="M190" s="5">
        <v>20482</v>
      </c>
      <c r="N190" s="5">
        <v>0</v>
      </c>
      <c r="O190" s="5">
        <v>68517</v>
      </c>
      <c r="P190" s="5">
        <v>19726</v>
      </c>
      <c r="Q190">
        <v>4</v>
      </c>
      <c r="R190" t="s">
        <v>41</v>
      </c>
    </row>
    <row r="191" spans="1:18">
      <c r="A191" t="s">
        <v>244</v>
      </c>
      <c r="B191" s="4">
        <v>46135</v>
      </c>
      <c r="C191" t="s">
        <v>36</v>
      </c>
      <c r="D191" t="s">
        <v>231</v>
      </c>
      <c r="E191" t="s">
        <v>232</v>
      </c>
      <c r="F191" t="s">
        <v>46</v>
      </c>
      <c r="G191" t="s">
        <v>43</v>
      </c>
      <c r="H191">
        <v>2</v>
      </c>
      <c r="I191" s="5">
        <v>212039</v>
      </c>
      <c r="J191" s="5">
        <v>19781</v>
      </c>
      <c r="K191" s="5">
        <v>192258</v>
      </c>
      <c r="L191" s="5">
        <v>125477</v>
      </c>
      <c r="M191" s="5">
        <v>14933</v>
      </c>
      <c r="N191" s="5">
        <v>0</v>
      </c>
      <c r="O191" s="5">
        <v>29799</v>
      </c>
      <c r="P191" s="5">
        <v>22049</v>
      </c>
      <c r="Q191">
        <v>4</v>
      </c>
      <c r="R191" t="s">
        <v>41</v>
      </c>
    </row>
    <row r="192" spans="1:18">
      <c r="A192" t="s">
        <v>245</v>
      </c>
      <c r="B192" s="4">
        <v>46175</v>
      </c>
      <c r="C192" t="s">
        <v>36</v>
      </c>
      <c r="D192" t="s">
        <v>231</v>
      </c>
      <c r="E192" t="s">
        <v>232</v>
      </c>
      <c r="F192" t="s">
        <v>51</v>
      </c>
      <c r="G192" t="s">
        <v>43</v>
      </c>
      <c r="H192">
        <v>5</v>
      </c>
      <c r="I192" s="5">
        <v>335536</v>
      </c>
      <c r="J192" s="5">
        <v>45595</v>
      </c>
      <c r="K192" s="5">
        <v>289941</v>
      </c>
      <c r="L192" s="5">
        <v>184083</v>
      </c>
      <c r="M192" s="5">
        <v>23674</v>
      </c>
      <c r="N192" s="5">
        <v>0</v>
      </c>
      <c r="O192" s="5">
        <v>42442</v>
      </c>
      <c r="P192" s="5">
        <v>39742</v>
      </c>
      <c r="Q192">
        <v>6</v>
      </c>
      <c r="R192" t="s">
        <v>41</v>
      </c>
    </row>
    <row r="193" spans="1:18">
      <c r="A193" t="s">
        <v>246</v>
      </c>
      <c r="B193" s="4">
        <v>46175</v>
      </c>
      <c r="C193" t="s">
        <v>36</v>
      </c>
      <c r="D193" t="s">
        <v>231</v>
      </c>
      <c r="E193" t="s">
        <v>232</v>
      </c>
      <c r="F193" t="s">
        <v>61</v>
      </c>
      <c r="G193" t="s">
        <v>40</v>
      </c>
      <c r="H193">
        <v>2</v>
      </c>
      <c r="I193" s="5">
        <v>336796</v>
      </c>
      <c r="J193" s="5">
        <v>23277</v>
      </c>
      <c r="K193" s="5">
        <v>313519</v>
      </c>
      <c r="L193" s="5">
        <v>212876</v>
      </c>
      <c r="M193" s="5">
        <v>21994</v>
      </c>
      <c r="N193" s="5">
        <v>0</v>
      </c>
      <c r="O193" s="5">
        <v>52172</v>
      </c>
      <c r="P193" s="5">
        <v>26477</v>
      </c>
      <c r="Q193">
        <v>3</v>
      </c>
      <c r="R193" t="s">
        <v>41</v>
      </c>
    </row>
    <row r="194" spans="1:18">
      <c r="A194" t="s">
        <v>247</v>
      </c>
      <c r="B194" s="4">
        <v>46176</v>
      </c>
      <c r="C194" t="s">
        <v>36</v>
      </c>
      <c r="D194" t="s">
        <v>231</v>
      </c>
      <c r="E194" t="s">
        <v>239</v>
      </c>
      <c r="F194" t="s">
        <v>49</v>
      </c>
      <c r="G194" t="s">
        <v>40</v>
      </c>
      <c r="H194">
        <v>3</v>
      </c>
      <c r="I194" s="5">
        <v>378544</v>
      </c>
      <c r="J194" s="5">
        <v>38863</v>
      </c>
      <c r="K194" s="5">
        <v>339681</v>
      </c>
      <c r="L194" s="5">
        <v>217128</v>
      </c>
      <c r="M194" s="5">
        <v>19891</v>
      </c>
      <c r="N194" s="5">
        <v>0</v>
      </c>
      <c r="O194" s="5">
        <v>61077</v>
      </c>
      <c r="P194" s="5">
        <v>41585</v>
      </c>
      <c r="Q194">
        <v>4</v>
      </c>
      <c r="R194" t="s">
        <v>41</v>
      </c>
    </row>
    <row r="195" spans="1:18">
      <c r="A195" t="s">
        <v>248</v>
      </c>
      <c r="B195" s="4">
        <v>46182</v>
      </c>
      <c r="C195" t="s">
        <v>36</v>
      </c>
      <c r="D195" t="s">
        <v>231</v>
      </c>
      <c r="E195" t="s">
        <v>232</v>
      </c>
      <c r="F195" t="s">
        <v>46</v>
      </c>
      <c r="G195" t="s">
        <v>40</v>
      </c>
      <c r="H195">
        <v>6</v>
      </c>
      <c r="I195" s="5">
        <v>289943</v>
      </c>
      <c r="J195" s="5">
        <v>34863</v>
      </c>
      <c r="K195" s="5">
        <v>255080</v>
      </c>
      <c r="L195" s="5">
        <v>164217</v>
      </c>
      <c r="M195" s="5">
        <v>21397</v>
      </c>
      <c r="N195" s="5">
        <v>13533</v>
      </c>
      <c r="O195" s="5">
        <v>31166</v>
      </c>
      <c r="P195" s="5">
        <v>24767</v>
      </c>
      <c r="Q195">
        <v>1</v>
      </c>
      <c r="R195" t="s">
        <v>53</v>
      </c>
    </row>
    <row r="196" spans="1:18">
      <c r="A196" t="s">
        <v>249</v>
      </c>
      <c r="B196" s="4">
        <v>46157</v>
      </c>
      <c r="C196" t="s">
        <v>36</v>
      </c>
      <c r="D196" t="s">
        <v>231</v>
      </c>
      <c r="E196" t="s">
        <v>239</v>
      </c>
      <c r="F196" t="s">
        <v>46</v>
      </c>
      <c r="G196" t="s">
        <v>40</v>
      </c>
      <c r="H196">
        <v>2</v>
      </c>
      <c r="I196" s="5">
        <v>408909</v>
      </c>
      <c r="J196" s="5">
        <v>56492</v>
      </c>
      <c r="K196" s="5">
        <v>352417</v>
      </c>
      <c r="L196" s="5">
        <v>222659</v>
      </c>
      <c r="M196" s="5">
        <v>31494</v>
      </c>
      <c r="N196" s="5">
        <v>0</v>
      </c>
      <c r="O196" s="5">
        <v>60875</v>
      </c>
      <c r="P196" s="5">
        <v>37389</v>
      </c>
      <c r="Q196">
        <v>1</v>
      </c>
      <c r="R196" t="s">
        <v>41</v>
      </c>
    </row>
    <row r="197" spans="1:18">
      <c r="A197" t="s">
        <v>250</v>
      </c>
      <c r="B197" s="4">
        <v>46167</v>
      </c>
      <c r="C197" t="s">
        <v>36</v>
      </c>
      <c r="D197" t="s">
        <v>231</v>
      </c>
      <c r="E197" t="s">
        <v>232</v>
      </c>
      <c r="F197" t="s">
        <v>49</v>
      </c>
      <c r="G197" t="s">
        <v>40</v>
      </c>
      <c r="H197">
        <v>2</v>
      </c>
      <c r="I197" s="5">
        <v>289883</v>
      </c>
      <c r="J197" s="5">
        <v>36027</v>
      </c>
      <c r="K197" s="5">
        <v>253856</v>
      </c>
      <c r="L197" s="5">
        <v>174226</v>
      </c>
      <c r="M197" s="5">
        <v>22174</v>
      </c>
      <c r="N197" s="5">
        <v>0</v>
      </c>
      <c r="O197" s="5">
        <v>38400</v>
      </c>
      <c r="P197" s="5">
        <v>19056</v>
      </c>
      <c r="Q197">
        <v>5</v>
      </c>
      <c r="R197" t="s">
        <v>41</v>
      </c>
    </row>
    <row r="198" spans="1:18">
      <c r="A198" t="s">
        <v>251</v>
      </c>
      <c r="B198" s="4">
        <v>46134</v>
      </c>
      <c r="C198" t="s">
        <v>36</v>
      </c>
      <c r="D198" t="s">
        <v>231</v>
      </c>
      <c r="E198" t="s">
        <v>234</v>
      </c>
      <c r="F198" t="s">
        <v>39</v>
      </c>
      <c r="G198" t="s">
        <v>43</v>
      </c>
      <c r="H198">
        <v>5</v>
      </c>
      <c r="I198" s="5">
        <v>175929</v>
      </c>
      <c r="J198" s="5">
        <v>23682</v>
      </c>
      <c r="K198" s="5">
        <v>152247</v>
      </c>
      <c r="L198" s="5">
        <v>89071</v>
      </c>
      <c r="M198" s="5">
        <v>9901</v>
      </c>
      <c r="N198" s="5">
        <v>0</v>
      </c>
      <c r="O198" s="5">
        <v>22826</v>
      </c>
      <c r="P198" s="5">
        <v>30449</v>
      </c>
      <c r="Q198">
        <v>1</v>
      </c>
      <c r="R198" t="s">
        <v>41</v>
      </c>
    </row>
    <row r="199" spans="1:18">
      <c r="A199" t="s">
        <v>252</v>
      </c>
      <c r="B199" s="4">
        <v>46165</v>
      </c>
      <c r="C199" t="s">
        <v>36</v>
      </c>
      <c r="D199" t="s">
        <v>231</v>
      </c>
      <c r="E199" t="s">
        <v>239</v>
      </c>
      <c r="F199" t="s">
        <v>39</v>
      </c>
      <c r="G199" t="s">
        <v>40</v>
      </c>
      <c r="H199">
        <v>6</v>
      </c>
      <c r="I199" s="5">
        <v>198726</v>
      </c>
      <c r="J199" s="5">
        <v>20365</v>
      </c>
      <c r="K199" s="5">
        <v>178361</v>
      </c>
      <c r="L199" s="5">
        <v>109684</v>
      </c>
      <c r="M199" s="5">
        <v>12438</v>
      </c>
      <c r="N199" s="5">
        <v>9775</v>
      </c>
      <c r="O199" s="5">
        <v>10792</v>
      </c>
      <c r="P199" s="5">
        <v>35672</v>
      </c>
      <c r="Q199">
        <v>6</v>
      </c>
      <c r="R199" t="s">
        <v>53</v>
      </c>
    </row>
    <row r="200" spans="1:18">
      <c r="A200" t="s">
        <v>253</v>
      </c>
      <c r="B200" s="4">
        <v>46199</v>
      </c>
      <c r="C200" t="s">
        <v>36</v>
      </c>
      <c r="D200" t="s">
        <v>231</v>
      </c>
      <c r="E200" t="s">
        <v>243</v>
      </c>
      <c r="F200" t="s">
        <v>46</v>
      </c>
      <c r="G200" t="s">
        <v>40</v>
      </c>
      <c r="H200">
        <v>5</v>
      </c>
      <c r="I200" s="5">
        <v>193589</v>
      </c>
      <c r="J200" s="5">
        <v>24717</v>
      </c>
      <c r="K200" s="5">
        <v>168872</v>
      </c>
      <c r="L200" s="5">
        <v>103472</v>
      </c>
      <c r="M200" s="5">
        <v>12952</v>
      </c>
      <c r="N200" s="5">
        <v>0</v>
      </c>
      <c r="O200" s="5">
        <v>22647</v>
      </c>
      <c r="P200" s="5">
        <v>29801</v>
      </c>
      <c r="Q200">
        <v>2</v>
      </c>
      <c r="R200" t="s">
        <v>41</v>
      </c>
    </row>
    <row r="201" spans="1:18">
      <c r="A201" t="s">
        <v>254</v>
      </c>
      <c r="B201" s="4">
        <v>46124</v>
      </c>
      <c r="C201" t="s">
        <v>36</v>
      </c>
      <c r="D201" t="s">
        <v>231</v>
      </c>
      <c r="E201" t="s">
        <v>243</v>
      </c>
      <c r="F201" t="s">
        <v>49</v>
      </c>
      <c r="G201" t="s">
        <v>43</v>
      </c>
      <c r="H201">
        <v>6</v>
      </c>
      <c r="I201" s="5">
        <v>298249</v>
      </c>
      <c r="J201" s="5">
        <v>22923</v>
      </c>
      <c r="K201" s="5">
        <v>275326</v>
      </c>
      <c r="L201" s="5">
        <v>165183</v>
      </c>
      <c r="M201" s="5">
        <v>14584</v>
      </c>
      <c r="N201" s="5">
        <v>0</v>
      </c>
      <c r="O201" s="5">
        <v>51658</v>
      </c>
      <c r="P201" s="5">
        <v>43901</v>
      </c>
      <c r="Q201">
        <v>2</v>
      </c>
      <c r="R201" t="s">
        <v>41</v>
      </c>
    </row>
    <row r="202" spans="1:18">
      <c r="A202" t="s">
        <v>255</v>
      </c>
      <c r="B202" s="4">
        <v>46124</v>
      </c>
      <c r="C202" t="s">
        <v>36</v>
      </c>
      <c r="D202" t="s">
        <v>231</v>
      </c>
      <c r="E202" t="s">
        <v>243</v>
      </c>
      <c r="F202" t="s">
        <v>39</v>
      </c>
      <c r="G202" t="s">
        <v>40</v>
      </c>
      <c r="H202">
        <v>5</v>
      </c>
      <c r="I202" s="5">
        <v>397502</v>
      </c>
      <c r="J202" s="5">
        <v>56024</v>
      </c>
      <c r="K202" s="5">
        <v>341478</v>
      </c>
      <c r="L202" s="5">
        <v>248787</v>
      </c>
      <c r="M202" s="5">
        <v>23754</v>
      </c>
      <c r="N202" s="5">
        <v>19813</v>
      </c>
      <c r="O202" s="5">
        <v>32636</v>
      </c>
      <c r="P202" s="5">
        <v>16488</v>
      </c>
      <c r="Q202">
        <v>3</v>
      </c>
      <c r="R202" t="s">
        <v>53</v>
      </c>
    </row>
    <row r="203" spans="1:18">
      <c r="A203" t="s">
        <v>256</v>
      </c>
      <c r="B203" s="4">
        <v>46149</v>
      </c>
      <c r="C203" t="s">
        <v>36</v>
      </c>
      <c r="D203" t="s">
        <v>231</v>
      </c>
      <c r="E203" t="s">
        <v>234</v>
      </c>
      <c r="F203" t="s">
        <v>49</v>
      </c>
      <c r="G203" t="s">
        <v>40</v>
      </c>
      <c r="H203">
        <v>5</v>
      </c>
      <c r="I203" s="5">
        <v>335683</v>
      </c>
      <c r="J203" s="5">
        <v>12234</v>
      </c>
      <c r="K203" s="5">
        <v>323449</v>
      </c>
      <c r="L203" s="5">
        <v>222910</v>
      </c>
      <c r="M203" s="5">
        <v>23581</v>
      </c>
      <c r="N203" s="5">
        <v>0</v>
      </c>
      <c r="O203" s="5">
        <v>49054</v>
      </c>
      <c r="P203" s="5">
        <v>27904</v>
      </c>
      <c r="Q203">
        <v>5</v>
      </c>
      <c r="R203" t="s">
        <v>41</v>
      </c>
    </row>
    <row r="204" spans="1:18">
      <c r="A204" t="s">
        <v>257</v>
      </c>
      <c r="B204" s="4">
        <v>46171</v>
      </c>
      <c r="C204" t="s">
        <v>36</v>
      </c>
      <c r="D204" t="s">
        <v>231</v>
      </c>
      <c r="E204" t="s">
        <v>239</v>
      </c>
      <c r="F204" t="s">
        <v>61</v>
      </c>
      <c r="G204" t="s">
        <v>40</v>
      </c>
      <c r="H204">
        <v>4</v>
      </c>
      <c r="I204" s="5">
        <v>166767</v>
      </c>
      <c r="J204" s="5">
        <v>24516</v>
      </c>
      <c r="K204" s="5">
        <v>142251</v>
      </c>
      <c r="L204" s="5">
        <v>86542</v>
      </c>
      <c r="M204" s="5">
        <v>10297</v>
      </c>
      <c r="N204" s="5">
        <v>6264</v>
      </c>
      <c r="O204" s="5">
        <v>10698</v>
      </c>
      <c r="P204" s="5">
        <v>28450</v>
      </c>
      <c r="Q204">
        <v>1</v>
      </c>
      <c r="R204" t="s">
        <v>53</v>
      </c>
    </row>
    <row r="205" spans="1:18">
      <c r="A205" t="s">
        <v>258</v>
      </c>
      <c r="B205" s="4">
        <v>46196</v>
      </c>
      <c r="C205" t="s">
        <v>36</v>
      </c>
      <c r="D205" t="s">
        <v>231</v>
      </c>
      <c r="E205" t="s">
        <v>234</v>
      </c>
      <c r="F205" t="s">
        <v>51</v>
      </c>
      <c r="G205" t="s">
        <v>43</v>
      </c>
      <c r="H205">
        <v>1</v>
      </c>
      <c r="I205" s="5">
        <v>303118</v>
      </c>
      <c r="J205" s="5">
        <v>9094</v>
      </c>
      <c r="K205" s="5">
        <v>294024</v>
      </c>
      <c r="L205" s="5">
        <v>193271</v>
      </c>
      <c r="M205" s="5">
        <v>26852</v>
      </c>
      <c r="N205" s="5">
        <v>0</v>
      </c>
      <c r="O205" s="5">
        <v>48870</v>
      </c>
      <c r="P205" s="5">
        <v>25031</v>
      </c>
      <c r="Q205">
        <v>4</v>
      </c>
      <c r="R205" t="s">
        <v>41</v>
      </c>
    </row>
    <row r="206" spans="1:18">
      <c r="A206" t="s">
        <v>259</v>
      </c>
      <c r="B206" s="4">
        <v>46163</v>
      </c>
      <c r="C206" t="s">
        <v>36</v>
      </c>
      <c r="D206" t="s">
        <v>231</v>
      </c>
      <c r="E206" t="s">
        <v>234</v>
      </c>
      <c r="F206" t="s">
        <v>51</v>
      </c>
      <c r="G206" t="s">
        <v>43</v>
      </c>
      <c r="H206">
        <v>6</v>
      </c>
      <c r="I206" s="5">
        <v>183190</v>
      </c>
      <c r="J206" s="5">
        <v>17404</v>
      </c>
      <c r="K206" s="5">
        <v>165786</v>
      </c>
      <c r="L206" s="5">
        <v>94626</v>
      </c>
      <c r="M206" s="5">
        <v>12752</v>
      </c>
      <c r="N206" s="5">
        <v>0</v>
      </c>
      <c r="O206" s="5">
        <v>25251</v>
      </c>
      <c r="P206" s="5">
        <v>33157</v>
      </c>
      <c r="Q206">
        <v>2</v>
      </c>
      <c r="R206" t="s">
        <v>41</v>
      </c>
    </row>
    <row r="207" spans="1:18">
      <c r="A207" t="s">
        <v>260</v>
      </c>
      <c r="B207" s="4">
        <v>46179</v>
      </c>
      <c r="C207" t="s">
        <v>36</v>
      </c>
      <c r="D207" t="s">
        <v>231</v>
      </c>
      <c r="E207" t="s">
        <v>243</v>
      </c>
      <c r="F207" t="s">
        <v>61</v>
      </c>
      <c r="G207" t="s">
        <v>40</v>
      </c>
      <c r="H207">
        <v>6</v>
      </c>
      <c r="I207" s="5">
        <v>210423</v>
      </c>
      <c r="J207" s="5">
        <v>25914</v>
      </c>
      <c r="K207" s="5">
        <v>184509</v>
      </c>
      <c r="L207" s="5">
        <v>103208</v>
      </c>
      <c r="M207" s="5">
        <v>9316</v>
      </c>
      <c r="N207" s="5">
        <v>0</v>
      </c>
      <c r="O207" s="5">
        <v>35084</v>
      </c>
      <c r="P207" s="5">
        <v>36901</v>
      </c>
      <c r="Q207">
        <v>4</v>
      </c>
      <c r="R207" t="s">
        <v>41</v>
      </c>
    </row>
    <row r="208" spans="1:18">
      <c r="A208" t="s">
        <v>261</v>
      </c>
      <c r="B208" s="4">
        <v>46142</v>
      </c>
      <c r="C208" t="s">
        <v>36</v>
      </c>
      <c r="D208" t="s">
        <v>231</v>
      </c>
      <c r="E208" t="s">
        <v>243</v>
      </c>
      <c r="F208" t="s">
        <v>61</v>
      </c>
      <c r="G208" t="s">
        <v>40</v>
      </c>
      <c r="H208">
        <v>1</v>
      </c>
      <c r="I208" s="5">
        <v>313166</v>
      </c>
      <c r="J208" s="5">
        <v>31366</v>
      </c>
      <c r="K208" s="5">
        <v>281800</v>
      </c>
      <c r="L208" s="5">
        <v>193219</v>
      </c>
      <c r="M208" s="5">
        <v>22387</v>
      </c>
      <c r="N208" s="5">
        <v>0</v>
      </c>
      <c r="O208" s="5">
        <v>39493</v>
      </c>
      <c r="P208" s="5">
        <v>26701</v>
      </c>
      <c r="Q208">
        <v>4</v>
      </c>
      <c r="R208" t="s">
        <v>41</v>
      </c>
    </row>
    <row r="209" spans="1:18">
      <c r="A209" t="s">
        <v>262</v>
      </c>
      <c r="B209" s="4">
        <v>46130</v>
      </c>
      <c r="C209" t="s">
        <v>36</v>
      </c>
      <c r="D209" t="s">
        <v>231</v>
      </c>
      <c r="E209" t="s">
        <v>232</v>
      </c>
      <c r="F209" t="s">
        <v>61</v>
      </c>
      <c r="G209" t="s">
        <v>40</v>
      </c>
      <c r="H209">
        <v>5</v>
      </c>
      <c r="I209" s="5">
        <v>288470</v>
      </c>
      <c r="J209" s="5">
        <v>23657</v>
      </c>
      <c r="K209" s="5">
        <v>264813</v>
      </c>
      <c r="L209" s="5">
        <v>157085</v>
      </c>
      <c r="M209" s="5">
        <v>20633</v>
      </c>
      <c r="N209" s="5">
        <v>0</v>
      </c>
      <c r="O209" s="5">
        <v>49172</v>
      </c>
      <c r="P209" s="5">
        <v>37923</v>
      </c>
      <c r="Q209">
        <v>6</v>
      </c>
      <c r="R209" t="s">
        <v>41</v>
      </c>
    </row>
    <row r="210" spans="1:18">
      <c r="A210" t="s">
        <v>263</v>
      </c>
      <c r="B210" s="4">
        <v>46165</v>
      </c>
      <c r="C210" t="s">
        <v>36</v>
      </c>
      <c r="D210" t="s">
        <v>231</v>
      </c>
      <c r="E210" t="s">
        <v>243</v>
      </c>
      <c r="F210" t="s">
        <v>51</v>
      </c>
      <c r="G210" t="s">
        <v>40</v>
      </c>
      <c r="H210">
        <v>1</v>
      </c>
      <c r="I210" s="5">
        <v>361571</v>
      </c>
      <c r="J210" s="5">
        <v>31763</v>
      </c>
      <c r="K210" s="5">
        <v>329808</v>
      </c>
      <c r="L210" s="5">
        <v>233963</v>
      </c>
      <c r="M210" s="5">
        <v>26731</v>
      </c>
      <c r="N210" s="5">
        <v>0</v>
      </c>
      <c r="O210" s="5">
        <v>53343</v>
      </c>
      <c r="P210" s="5">
        <v>15771</v>
      </c>
      <c r="Q210">
        <v>2</v>
      </c>
      <c r="R210" t="s">
        <v>41</v>
      </c>
    </row>
    <row r="211" spans="1:18">
      <c r="A211" t="s">
        <v>264</v>
      </c>
      <c r="B211" s="4">
        <v>46130</v>
      </c>
      <c r="C211" t="s">
        <v>36</v>
      </c>
      <c r="D211" t="s">
        <v>231</v>
      </c>
      <c r="E211" t="s">
        <v>232</v>
      </c>
      <c r="F211" t="s">
        <v>39</v>
      </c>
      <c r="G211" t="s">
        <v>40</v>
      </c>
      <c r="H211">
        <v>2</v>
      </c>
      <c r="I211" s="5">
        <v>188067</v>
      </c>
      <c r="J211" s="5">
        <v>22838</v>
      </c>
      <c r="K211" s="5">
        <v>165229</v>
      </c>
      <c r="L211" s="5">
        <v>106039</v>
      </c>
      <c r="M211" s="5">
        <v>10531</v>
      </c>
      <c r="N211" s="5">
        <v>0</v>
      </c>
      <c r="O211" s="5">
        <v>25631</v>
      </c>
      <c r="P211" s="5">
        <v>23028</v>
      </c>
      <c r="Q211">
        <v>4</v>
      </c>
      <c r="R211" t="s">
        <v>41</v>
      </c>
    </row>
    <row r="212" spans="1:18">
      <c r="A212" t="s">
        <v>265</v>
      </c>
      <c r="B212" s="4">
        <v>46197</v>
      </c>
      <c r="C212" t="s">
        <v>36</v>
      </c>
      <c r="D212" t="s">
        <v>231</v>
      </c>
      <c r="E212" t="s">
        <v>234</v>
      </c>
      <c r="F212" t="s">
        <v>51</v>
      </c>
      <c r="G212" t="s">
        <v>40</v>
      </c>
      <c r="H212">
        <v>6</v>
      </c>
      <c r="I212" s="5">
        <v>324085</v>
      </c>
      <c r="J212" s="5">
        <v>21150</v>
      </c>
      <c r="K212" s="5">
        <v>302935</v>
      </c>
      <c r="L212" s="5">
        <v>189908</v>
      </c>
      <c r="M212" s="5">
        <v>23563</v>
      </c>
      <c r="N212" s="5">
        <v>0</v>
      </c>
      <c r="O212" s="5">
        <v>45019</v>
      </c>
      <c r="P212" s="5">
        <v>44445</v>
      </c>
      <c r="Q212">
        <v>3</v>
      </c>
      <c r="R212" t="s">
        <v>41</v>
      </c>
    </row>
    <row r="213" spans="1:18">
      <c r="A213" t="s">
        <v>266</v>
      </c>
      <c r="B213" s="4">
        <v>46162</v>
      </c>
      <c r="C213" t="s">
        <v>36</v>
      </c>
      <c r="D213" t="s">
        <v>231</v>
      </c>
      <c r="E213" t="s">
        <v>239</v>
      </c>
      <c r="F213" t="s">
        <v>51</v>
      </c>
      <c r="G213" t="s">
        <v>43</v>
      </c>
      <c r="H213">
        <v>6</v>
      </c>
      <c r="I213" s="5">
        <v>316346</v>
      </c>
      <c r="J213" s="5">
        <v>22389</v>
      </c>
      <c r="K213" s="5">
        <v>293957</v>
      </c>
      <c r="L213" s="5">
        <v>198487</v>
      </c>
      <c r="M213" s="5">
        <v>24264</v>
      </c>
      <c r="N213" s="5">
        <v>0</v>
      </c>
      <c r="O213" s="5">
        <v>41708</v>
      </c>
      <c r="P213" s="5">
        <v>29498</v>
      </c>
      <c r="Q213">
        <v>4</v>
      </c>
      <c r="R213" t="s">
        <v>41</v>
      </c>
    </row>
    <row r="214" spans="1:18">
      <c r="A214" t="s">
        <v>267</v>
      </c>
      <c r="B214" s="4">
        <v>46129</v>
      </c>
      <c r="C214" t="s">
        <v>36</v>
      </c>
      <c r="D214" t="s">
        <v>231</v>
      </c>
      <c r="E214" t="s">
        <v>243</v>
      </c>
      <c r="F214" t="s">
        <v>49</v>
      </c>
      <c r="G214" t="s">
        <v>43</v>
      </c>
      <c r="H214">
        <v>3</v>
      </c>
      <c r="I214" s="5">
        <v>274652</v>
      </c>
      <c r="J214" s="5">
        <v>20421</v>
      </c>
      <c r="K214" s="5">
        <v>254231</v>
      </c>
      <c r="L214" s="5">
        <v>175676</v>
      </c>
      <c r="M214" s="5">
        <v>22754</v>
      </c>
      <c r="N214" s="5">
        <v>0</v>
      </c>
      <c r="O214" s="5">
        <v>30317</v>
      </c>
      <c r="P214" s="5">
        <v>25484</v>
      </c>
      <c r="Q214">
        <v>2</v>
      </c>
      <c r="R214" t="s">
        <v>41</v>
      </c>
    </row>
    <row r="215" spans="1:18">
      <c r="A215" t="s">
        <v>268</v>
      </c>
      <c r="B215" s="4">
        <v>46114</v>
      </c>
      <c r="C215" t="s">
        <v>36</v>
      </c>
      <c r="D215" t="s">
        <v>231</v>
      </c>
      <c r="E215" t="s">
        <v>234</v>
      </c>
      <c r="F215" t="s">
        <v>51</v>
      </c>
      <c r="G215" t="s">
        <v>40</v>
      </c>
      <c r="H215">
        <v>1</v>
      </c>
      <c r="I215" s="5">
        <v>258227</v>
      </c>
      <c r="J215" s="5">
        <v>23073</v>
      </c>
      <c r="K215" s="5">
        <v>235154</v>
      </c>
      <c r="L215" s="5">
        <v>138873</v>
      </c>
      <c r="M215" s="5">
        <v>19126</v>
      </c>
      <c r="N215" s="5">
        <v>10283</v>
      </c>
      <c r="O215" s="5">
        <v>23959</v>
      </c>
      <c r="P215" s="5">
        <v>42913</v>
      </c>
      <c r="Q215">
        <v>3</v>
      </c>
      <c r="R215" t="s">
        <v>53</v>
      </c>
    </row>
    <row r="216" spans="1:18">
      <c r="A216" t="s">
        <v>269</v>
      </c>
      <c r="B216" s="4">
        <v>46167</v>
      </c>
      <c r="C216" t="s">
        <v>36</v>
      </c>
      <c r="D216" t="s">
        <v>231</v>
      </c>
      <c r="E216" t="s">
        <v>243</v>
      </c>
      <c r="F216" t="s">
        <v>61</v>
      </c>
      <c r="G216" t="s">
        <v>40</v>
      </c>
      <c r="H216">
        <v>3</v>
      </c>
      <c r="I216" s="5">
        <v>383876</v>
      </c>
      <c r="J216" s="5">
        <v>55064</v>
      </c>
      <c r="K216" s="5">
        <v>328812</v>
      </c>
      <c r="L216" s="5">
        <v>212486</v>
      </c>
      <c r="M216" s="5">
        <v>26645</v>
      </c>
      <c r="N216" s="5">
        <v>0</v>
      </c>
      <c r="O216" s="5">
        <v>61933</v>
      </c>
      <c r="P216" s="5">
        <v>27748</v>
      </c>
      <c r="Q216">
        <v>3</v>
      </c>
      <c r="R216" t="s">
        <v>41</v>
      </c>
    </row>
    <row r="217" spans="1:18">
      <c r="A217" t="s">
        <v>270</v>
      </c>
      <c r="B217" s="4">
        <v>46154</v>
      </c>
      <c r="C217" t="s">
        <v>36</v>
      </c>
      <c r="D217" t="s">
        <v>231</v>
      </c>
      <c r="E217" t="s">
        <v>243</v>
      </c>
      <c r="F217" t="s">
        <v>49</v>
      </c>
      <c r="G217" t="s">
        <v>40</v>
      </c>
      <c r="H217">
        <v>3</v>
      </c>
      <c r="I217" s="5">
        <v>227860</v>
      </c>
      <c r="J217" s="5">
        <v>27864</v>
      </c>
      <c r="K217" s="5">
        <v>199996</v>
      </c>
      <c r="L217" s="5">
        <v>125775</v>
      </c>
      <c r="M217" s="5">
        <v>16317</v>
      </c>
      <c r="N217" s="5">
        <v>0</v>
      </c>
      <c r="O217" s="5">
        <v>22776</v>
      </c>
      <c r="P217" s="5">
        <v>35128</v>
      </c>
      <c r="Q217">
        <v>3</v>
      </c>
      <c r="R217" t="s">
        <v>41</v>
      </c>
    </row>
    <row r="218" spans="1:18">
      <c r="A218" t="s">
        <v>271</v>
      </c>
      <c r="B218" s="4">
        <v>46171</v>
      </c>
      <c r="C218" t="s">
        <v>36</v>
      </c>
      <c r="D218" t="s">
        <v>231</v>
      </c>
      <c r="E218" t="s">
        <v>239</v>
      </c>
      <c r="F218" t="s">
        <v>39</v>
      </c>
      <c r="G218" t="s">
        <v>40</v>
      </c>
      <c r="H218">
        <v>1</v>
      </c>
      <c r="I218" s="5">
        <v>385299</v>
      </c>
      <c r="J218" s="5">
        <v>35467</v>
      </c>
      <c r="K218" s="5">
        <v>349832</v>
      </c>
      <c r="L218" s="5">
        <v>238401</v>
      </c>
      <c r="M218" s="5">
        <v>19646</v>
      </c>
      <c r="N218" s="5">
        <v>14937</v>
      </c>
      <c r="O218" s="5">
        <v>42286</v>
      </c>
      <c r="P218" s="5">
        <v>34562</v>
      </c>
      <c r="Q218">
        <v>1</v>
      </c>
      <c r="R218" t="s">
        <v>53</v>
      </c>
    </row>
    <row r="219" spans="1:18">
      <c r="A219" t="s">
        <v>272</v>
      </c>
      <c r="B219" s="4">
        <v>46179</v>
      </c>
      <c r="C219" t="s">
        <v>36</v>
      </c>
      <c r="D219" t="s">
        <v>231</v>
      </c>
      <c r="E219" t="s">
        <v>234</v>
      </c>
      <c r="F219" t="s">
        <v>51</v>
      </c>
      <c r="G219" t="s">
        <v>43</v>
      </c>
      <c r="H219">
        <v>2</v>
      </c>
      <c r="I219" s="5">
        <v>142050</v>
      </c>
      <c r="J219" s="5">
        <v>18318</v>
      </c>
      <c r="K219" s="5">
        <v>123732</v>
      </c>
      <c r="L219" s="5">
        <v>72387</v>
      </c>
      <c r="M219" s="5">
        <v>8488</v>
      </c>
      <c r="N219" s="5">
        <v>0</v>
      </c>
      <c r="O219" s="5">
        <v>25417</v>
      </c>
      <c r="P219" s="5">
        <v>17440</v>
      </c>
      <c r="Q219">
        <v>3</v>
      </c>
      <c r="R219" t="s">
        <v>41</v>
      </c>
    </row>
    <row r="220" spans="1:18">
      <c r="A220" t="s">
        <v>273</v>
      </c>
      <c r="B220" s="4">
        <v>46155</v>
      </c>
      <c r="C220" t="s">
        <v>36</v>
      </c>
      <c r="D220" t="s">
        <v>231</v>
      </c>
      <c r="E220" t="s">
        <v>243</v>
      </c>
      <c r="F220" t="s">
        <v>39</v>
      </c>
      <c r="G220" t="s">
        <v>40</v>
      </c>
      <c r="H220">
        <v>3</v>
      </c>
      <c r="I220" s="5">
        <v>387669</v>
      </c>
      <c r="J220" s="5">
        <v>42605</v>
      </c>
      <c r="K220" s="5">
        <v>345064</v>
      </c>
      <c r="L220" s="5">
        <v>232558</v>
      </c>
      <c r="M220" s="5">
        <v>20177</v>
      </c>
      <c r="N220" s="5">
        <v>0</v>
      </c>
      <c r="O220" s="5">
        <v>59020</v>
      </c>
      <c r="P220" s="5">
        <v>33309</v>
      </c>
      <c r="Q220">
        <v>1</v>
      </c>
      <c r="R220" t="s">
        <v>41</v>
      </c>
    </row>
    <row r="221" spans="1:18">
      <c r="A221" t="s">
        <v>274</v>
      </c>
      <c r="B221" s="4">
        <v>46176</v>
      </c>
      <c r="C221" t="s">
        <v>36</v>
      </c>
      <c r="D221" t="s">
        <v>231</v>
      </c>
      <c r="E221" t="s">
        <v>232</v>
      </c>
      <c r="F221" t="s">
        <v>39</v>
      </c>
      <c r="G221" t="s">
        <v>40</v>
      </c>
      <c r="H221">
        <v>3</v>
      </c>
      <c r="I221" s="5">
        <v>389722</v>
      </c>
      <c r="J221" s="5">
        <v>38675</v>
      </c>
      <c r="K221" s="5">
        <v>351047</v>
      </c>
      <c r="L221" s="5">
        <v>214594</v>
      </c>
      <c r="M221" s="5">
        <v>24431</v>
      </c>
      <c r="N221" s="5">
        <v>0</v>
      </c>
      <c r="O221" s="5">
        <v>73369</v>
      </c>
      <c r="P221" s="5">
        <v>38653</v>
      </c>
      <c r="Q221">
        <v>1</v>
      </c>
      <c r="R221" t="s">
        <v>41</v>
      </c>
    </row>
    <row r="222" spans="1:18">
      <c r="A222" t="s">
        <v>275</v>
      </c>
      <c r="B222" s="4">
        <v>46113</v>
      </c>
      <c r="C222" t="s">
        <v>36</v>
      </c>
      <c r="D222" t="s">
        <v>231</v>
      </c>
      <c r="E222" t="s">
        <v>239</v>
      </c>
      <c r="F222" t="s">
        <v>61</v>
      </c>
      <c r="G222" t="s">
        <v>40</v>
      </c>
      <c r="H222">
        <v>1</v>
      </c>
      <c r="I222" s="5">
        <v>168590</v>
      </c>
      <c r="J222" s="5">
        <v>20372</v>
      </c>
      <c r="K222" s="5">
        <v>148218</v>
      </c>
      <c r="L222" s="5">
        <v>87825</v>
      </c>
      <c r="M222" s="5">
        <v>7661</v>
      </c>
      <c r="N222" s="5">
        <v>0</v>
      </c>
      <c r="O222" s="5">
        <v>23089</v>
      </c>
      <c r="P222" s="5">
        <v>29643</v>
      </c>
      <c r="Q222">
        <v>1</v>
      </c>
      <c r="R222" t="s">
        <v>41</v>
      </c>
    </row>
    <row r="223" spans="1:18">
      <c r="A223" t="s">
        <v>276</v>
      </c>
      <c r="B223" s="4">
        <v>46183</v>
      </c>
      <c r="C223" t="s">
        <v>36</v>
      </c>
      <c r="D223" t="s">
        <v>231</v>
      </c>
      <c r="E223" t="s">
        <v>243</v>
      </c>
      <c r="F223" t="s">
        <v>51</v>
      </c>
      <c r="G223" t="s">
        <v>43</v>
      </c>
      <c r="H223">
        <v>2</v>
      </c>
      <c r="I223" s="5">
        <v>389725</v>
      </c>
      <c r="J223" s="5">
        <v>29676</v>
      </c>
      <c r="K223" s="5">
        <v>360049</v>
      </c>
      <c r="L223" s="5">
        <v>237676</v>
      </c>
      <c r="M223" s="5">
        <v>33327</v>
      </c>
      <c r="N223" s="5">
        <v>0</v>
      </c>
      <c r="O223" s="5">
        <v>71714</v>
      </c>
      <c r="P223" s="5">
        <v>17332</v>
      </c>
      <c r="Q223">
        <v>3</v>
      </c>
      <c r="R223" t="s">
        <v>41</v>
      </c>
    </row>
    <row r="224" spans="1:18">
      <c r="A224" t="s">
        <v>277</v>
      </c>
      <c r="B224" s="4">
        <v>46177</v>
      </c>
      <c r="C224" t="s">
        <v>36</v>
      </c>
      <c r="D224" t="s">
        <v>231</v>
      </c>
      <c r="E224" t="s">
        <v>239</v>
      </c>
      <c r="F224" t="s">
        <v>51</v>
      </c>
      <c r="G224" t="s">
        <v>40</v>
      </c>
      <c r="H224">
        <v>5</v>
      </c>
      <c r="I224" s="5">
        <v>250493</v>
      </c>
      <c r="J224" s="5">
        <v>15453</v>
      </c>
      <c r="K224" s="5">
        <v>235040</v>
      </c>
      <c r="L224" s="5">
        <v>151842</v>
      </c>
      <c r="M224" s="5">
        <v>13605</v>
      </c>
      <c r="N224" s="5">
        <v>0</v>
      </c>
      <c r="O224" s="5">
        <v>50112</v>
      </c>
      <c r="P224" s="5">
        <v>19481</v>
      </c>
      <c r="Q224">
        <v>4</v>
      </c>
      <c r="R224" t="s">
        <v>41</v>
      </c>
    </row>
    <row r="225" spans="1:18">
      <c r="A225" t="s">
        <v>278</v>
      </c>
      <c r="B225" s="4">
        <v>46152</v>
      </c>
      <c r="C225" t="s">
        <v>36</v>
      </c>
      <c r="D225" t="s">
        <v>231</v>
      </c>
      <c r="E225" t="s">
        <v>234</v>
      </c>
      <c r="F225" t="s">
        <v>61</v>
      </c>
      <c r="G225" t="s">
        <v>43</v>
      </c>
      <c r="H225">
        <v>1</v>
      </c>
      <c r="I225" s="5">
        <v>221843</v>
      </c>
      <c r="J225" s="5">
        <v>43545</v>
      </c>
      <c r="K225" s="5">
        <v>178298</v>
      </c>
      <c r="L225" s="5">
        <v>97879</v>
      </c>
      <c r="M225" s="5">
        <v>11211</v>
      </c>
      <c r="N225" s="5">
        <v>0</v>
      </c>
      <c r="O225" s="5">
        <v>33549</v>
      </c>
      <c r="P225" s="5">
        <v>35659</v>
      </c>
      <c r="Q225">
        <v>3</v>
      </c>
      <c r="R225" t="s">
        <v>41</v>
      </c>
    </row>
    <row r="226" spans="1:18">
      <c r="A226" t="s">
        <v>279</v>
      </c>
      <c r="B226" s="4">
        <v>46160</v>
      </c>
      <c r="C226" t="s">
        <v>36</v>
      </c>
      <c r="D226" t="s">
        <v>231</v>
      </c>
      <c r="E226" t="s">
        <v>243</v>
      </c>
      <c r="F226" t="s">
        <v>51</v>
      </c>
      <c r="G226" t="s">
        <v>40</v>
      </c>
      <c r="H226">
        <v>2</v>
      </c>
      <c r="I226" s="5">
        <v>291473</v>
      </c>
      <c r="J226" s="5">
        <v>26305</v>
      </c>
      <c r="K226" s="5">
        <v>265168</v>
      </c>
      <c r="L226" s="5">
        <v>173692</v>
      </c>
      <c r="M226" s="5">
        <v>20729</v>
      </c>
      <c r="N226" s="5">
        <v>0</v>
      </c>
      <c r="O226" s="5">
        <v>36982</v>
      </c>
      <c r="P226" s="5">
        <v>33765</v>
      </c>
      <c r="Q226">
        <v>4</v>
      </c>
      <c r="R226" t="s">
        <v>41</v>
      </c>
    </row>
    <row r="227" spans="1:18">
      <c r="A227" t="s">
        <v>280</v>
      </c>
      <c r="B227" s="4">
        <v>46114</v>
      </c>
      <c r="C227" t="s">
        <v>36</v>
      </c>
      <c r="D227" t="s">
        <v>231</v>
      </c>
      <c r="E227" t="s">
        <v>234</v>
      </c>
      <c r="F227" t="s">
        <v>61</v>
      </c>
      <c r="G227" t="s">
        <v>43</v>
      </c>
      <c r="H227">
        <v>6</v>
      </c>
      <c r="I227" s="5">
        <v>198057</v>
      </c>
      <c r="J227" s="5">
        <v>28902</v>
      </c>
      <c r="K227" s="5">
        <v>169155</v>
      </c>
      <c r="L227" s="5">
        <v>94858</v>
      </c>
      <c r="M227" s="5">
        <v>9994</v>
      </c>
      <c r="N227" s="5">
        <v>0</v>
      </c>
      <c r="O227" s="5">
        <v>30472</v>
      </c>
      <c r="P227" s="5">
        <v>33831</v>
      </c>
      <c r="Q227">
        <v>3</v>
      </c>
      <c r="R227" t="s">
        <v>41</v>
      </c>
    </row>
    <row r="228" spans="1:18">
      <c r="A228" t="s">
        <v>281</v>
      </c>
      <c r="B228" s="4">
        <v>46120</v>
      </c>
      <c r="C228" t="s">
        <v>36</v>
      </c>
      <c r="D228" t="s">
        <v>231</v>
      </c>
      <c r="E228" t="s">
        <v>232</v>
      </c>
      <c r="F228" t="s">
        <v>39</v>
      </c>
      <c r="G228" t="s">
        <v>40</v>
      </c>
      <c r="H228">
        <v>1</v>
      </c>
      <c r="I228" s="5">
        <v>380768</v>
      </c>
      <c r="J228" s="5">
        <v>40994</v>
      </c>
      <c r="K228" s="5">
        <v>339774</v>
      </c>
      <c r="L228" s="5">
        <v>229551</v>
      </c>
      <c r="M228" s="5">
        <v>21932</v>
      </c>
      <c r="N228" s="5">
        <v>0</v>
      </c>
      <c r="O228" s="5">
        <v>63972</v>
      </c>
      <c r="P228" s="5">
        <v>24319</v>
      </c>
      <c r="Q228">
        <v>3</v>
      </c>
      <c r="R228" t="s">
        <v>41</v>
      </c>
    </row>
    <row r="229" spans="1:18">
      <c r="A229" t="s">
        <v>282</v>
      </c>
      <c r="B229" s="4">
        <v>46123</v>
      </c>
      <c r="C229" t="s">
        <v>36</v>
      </c>
      <c r="D229" t="s">
        <v>231</v>
      </c>
      <c r="E229" t="s">
        <v>239</v>
      </c>
      <c r="F229" t="s">
        <v>49</v>
      </c>
      <c r="G229" t="s">
        <v>40</v>
      </c>
      <c r="H229">
        <v>6</v>
      </c>
      <c r="I229" s="5">
        <v>306457</v>
      </c>
      <c r="J229" s="5">
        <v>53851</v>
      </c>
      <c r="K229" s="5">
        <v>252606</v>
      </c>
      <c r="L229" s="5">
        <v>170462</v>
      </c>
      <c r="M229" s="5">
        <v>20647</v>
      </c>
      <c r="N229" s="5">
        <v>0</v>
      </c>
      <c r="O229" s="5">
        <v>43436</v>
      </c>
      <c r="P229" s="5">
        <v>18061</v>
      </c>
      <c r="Q229">
        <v>2</v>
      </c>
      <c r="R229" t="s">
        <v>41</v>
      </c>
    </row>
    <row r="230" spans="1:18">
      <c r="A230" t="s">
        <v>283</v>
      </c>
      <c r="B230" s="4">
        <v>46143</v>
      </c>
      <c r="C230" t="s">
        <v>36</v>
      </c>
      <c r="D230" t="s">
        <v>231</v>
      </c>
      <c r="E230" t="s">
        <v>234</v>
      </c>
      <c r="F230" t="s">
        <v>39</v>
      </c>
      <c r="G230" t="s">
        <v>43</v>
      </c>
      <c r="H230">
        <v>4</v>
      </c>
      <c r="I230" s="5">
        <v>346391</v>
      </c>
      <c r="J230" s="5">
        <v>40138</v>
      </c>
      <c r="K230" s="5">
        <v>306253</v>
      </c>
      <c r="L230" s="5">
        <v>212904</v>
      </c>
      <c r="M230" s="5">
        <v>22539</v>
      </c>
      <c r="N230" s="5">
        <v>0</v>
      </c>
      <c r="O230" s="5">
        <v>55767</v>
      </c>
      <c r="P230" s="5">
        <v>15043</v>
      </c>
      <c r="Q230">
        <v>3</v>
      </c>
      <c r="R230" t="s">
        <v>41</v>
      </c>
    </row>
    <row r="231" spans="1:18">
      <c r="A231" t="s">
        <v>284</v>
      </c>
      <c r="B231" s="4">
        <v>46187</v>
      </c>
      <c r="C231" t="s">
        <v>36</v>
      </c>
      <c r="D231" t="s">
        <v>231</v>
      </c>
      <c r="E231" t="s">
        <v>239</v>
      </c>
      <c r="F231" t="s">
        <v>51</v>
      </c>
      <c r="G231" t="s">
        <v>40</v>
      </c>
      <c r="H231">
        <v>2</v>
      </c>
      <c r="I231" s="5">
        <v>233029</v>
      </c>
      <c r="J231" s="5">
        <v>21581</v>
      </c>
      <c r="K231" s="5">
        <v>211448</v>
      </c>
      <c r="L231" s="5">
        <v>132782</v>
      </c>
      <c r="M231" s="5">
        <v>13281</v>
      </c>
      <c r="N231" s="5">
        <v>7140</v>
      </c>
      <c r="O231" s="5">
        <v>34177</v>
      </c>
      <c r="P231" s="5">
        <v>24068</v>
      </c>
      <c r="Q231">
        <v>1</v>
      </c>
      <c r="R231" t="s">
        <v>53</v>
      </c>
    </row>
    <row r="232" spans="1:18">
      <c r="A232" t="s">
        <v>285</v>
      </c>
      <c r="B232" s="4">
        <v>46170</v>
      </c>
      <c r="C232" t="s">
        <v>36</v>
      </c>
      <c r="D232" t="s">
        <v>231</v>
      </c>
      <c r="E232" t="s">
        <v>234</v>
      </c>
      <c r="F232" t="s">
        <v>46</v>
      </c>
      <c r="G232" t="s">
        <v>43</v>
      </c>
      <c r="H232">
        <v>1</v>
      </c>
      <c r="I232" s="5">
        <v>270092</v>
      </c>
      <c r="J232" s="5">
        <v>21911</v>
      </c>
      <c r="K232" s="5">
        <v>248181</v>
      </c>
      <c r="L232" s="5">
        <v>153769</v>
      </c>
      <c r="M232" s="5">
        <v>16544</v>
      </c>
      <c r="N232" s="5">
        <v>0</v>
      </c>
      <c r="O232" s="5">
        <v>52262</v>
      </c>
      <c r="P232" s="5">
        <v>25606</v>
      </c>
      <c r="Q232">
        <v>4</v>
      </c>
      <c r="R232" t="s">
        <v>41</v>
      </c>
    </row>
    <row r="233" spans="1:18">
      <c r="A233" t="s">
        <v>286</v>
      </c>
      <c r="B233" s="4">
        <v>46140</v>
      </c>
      <c r="C233" t="s">
        <v>36</v>
      </c>
      <c r="D233" t="s">
        <v>231</v>
      </c>
      <c r="E233" t="s">
        <v>234</v>
      </c>
      <c r="F233" t="s">
        <v>51</v>
      </c>
      <c r="G233" t="s">
        <v>40</v>
      </c>
      <c r="H233">
        <v>6</v>
      </c>
      <c r="I233" s="5">
        <v>246652</v>
      </c>
      <c r="J233" s="5">
        <v>40343</v>
      </c>
      <c r="K233" s="5">
        <v>206309</v>
      </c>
      <c r="L233" s="5">
        <v>129724</v>
      </c>
      <c r="M233" s="5">
        <v>16172</v>
      </c>
      <c r="N233" s="5">
        <v>0</v>
      </c>
      <c r="O233" s="5">
        <v>37491</v>
      </c>
      <c r="P233" s="5">
        <v>22922</v>
      </c>
      <c r="Q233">
        <v>5</v>
      </c>
      <c r="R233" t="s">
        <v>41</v>
      </c>
    </row>
    <row r="234" spans="1:18">
      <c r="A234" t="s">
        <v>287</v>
      </c>
      <c r="B234" s="4">
        <v>46135</v>
      </c>
      <c r="C234" t="s">
        <v>36</v>
      </c>
      <c r="D234" t="s">
        <v>231</v>
      </c>
      <c r="E234" t="s">
        <v>239</v>
      </c>
      <c r="F234" t="s">
        <v>46</v>
      </c>
      <c r="G234" t="s">
        <v>43</v>
      </c>
      <c r="H234">
        <v>5</v>
      </c>
      <c r="I234" s="5">
        <v>205537</v>
      </c>
      <c r="J234" s="5">
        <v>22685</v>
      </c>
      <c r="K234" s="5">
        <v>182852</v>
      </c>
      <c r="L234" s="5">
        <v>119111</v>
      </c>
      <c r="M234" s="5">
        <v>14283</v>
      </c>
      <c r="N234" s="5">
        <v>0</v>
      </c>
      <c r="O234" s="5">
        <v>30624</v>
      </c>
      <c r="P234" s="5">
        <v>18834</v>
      </c>
      <c r="Q234">
        <v>5</v>
      </c>
      <c r="R234" t="s">
        <v>41</v>
      </c>
    </row>
    <row r="235" spans="1:18">
      <c r="A235" t="s">
        <v>288</v>
      </c>
      <c r="B235" s="4">
        <v>46114</v>
      </c>
      <c r="C235" t="s">
        <v>36</v>
      </c>
      <c r="D235" t="s">
        <v>231</v>
      </c>
      <c r="E235" t="s">
        <v>239</v>
      </c>
      <c r="F235" t="s">
        <v>51</v>
      </c>
      <c r="G235" t="s">
        <v>40</v>
      </c>
      <c r="H235">
        <v>2</v>
      </c>
      <c r="I235" s="5">
        <v>273136</v>
      </c>
      <c r="J235" s="5">
        <v>29957</v>
      </c>
      <c r="K235" s="5">
        <v>243179</v>
      </c>
      <c r="L235" s="5">
        <v>160703</v>
      </c>
      <c r="M235" s="5">
        <v>20524</v>
      </c>
      <c r="N235" s="5">
        <v>0</v>
      </c>
      <c r="O235" s="5">
        <v>41483</v>
      </c>
      <c r="P235" s="5">
        <v>20469</v>
      </c>
      <c r="Q235">
        <v>2</v>
      </c>
      <c r="R235" t="s">
        <v>41</v>
      </c>
    </row>
    <row r="236" spans="1:18">
      <c r="A236" t="s">
        <v>289</v>
      </c>
      <c r="B236" s="4">
        <v>46146</v>
      </c>
      <c r="C236" t="s">
        <v>36</v>
      </c>
      <c r="D236" t="s">
        <v>231</v>
      </c>
      <c r="E236" t="s">
        <v>239</v>
      </c>
      <c r="F236" t="s">
        <v>61</v>
      </c>
      <c r="G236" t="s">
        <v>40</v>
      </c>
      <c r="H236">
        <v>2</v>
      </c>
      <c r="I236" s="5">
        <v>273680</v>
      </c>
      <c r="J236" s="5">
        <v>34232</v>
      </c>
      <c r="K236" s="5">
        <v>239448</v>
      </c>
      <c r="L236" s="5">
        <v>155592</v>
      </c>
      <c r="M236" s="5">
        <v>18117</v>
      </c>
      <c r="N236" s="5">
        <v>0</v>
      </c>
      <c r="O236" s="5">
        <v>37485</v>
      </c>
      <c r="P236" s="5">
        <v>28254</v>
      </c>
      <c r="Q236">
        <v>2</v>
      </c>
      <c r="R236" t="s">
        <v>41</v>
      </c>
    </row>
    <row r="237" spans="1:18">
      <c r="A237" t="s">
        <v>290</v>
      </c>
      <c r="B237" s="4">
        <v>46155</v>
      </c>
      <c r="C237" t="s">
        <v>36</v>
      </c>
      <c r="D237" t="s">
        <v>231</v>
      </c>
      <c r="E237" t="s">
        <v>239</v>
      </c>
      <c r="F237" t="s">
        <v>61</v>
      </c>
      <c r="G237" t="s">
        <v>43</v>
      </c>
      <c r="H237">
        <v>1</v>
      </c>
      <c r="I237" s="5">
        <v>167319</v>
      </c>
      <c r="J237" s="5">
        <v>23592</v>
      </c>
      <c r="K237" s="5">
        <v>143727</v>
      </c>
      <c r="L237" s="5">
        <v>79520</v>
      </c>
      <c r="M237" s="5">
        <v>11061</v>
      </c>
      <c r="N237" s="5">
        <v>0</v>
      </c>
      <c r="O237" s="5">
        <v>24401</v>
      </c>
      <c r="P237" s="5">
        <v>28745</v>
      </c>
      <c r="Q237">
        <v>2</v>
      </c>
      <c r="R237" t="s">
        <v>41</v>
      </c>
    </row>
    <row r="238" spans="1:18">
      <c r="A238" t="s">
        <v>291</v>
      </c>
      <c r="B238" s="4">
        <v>46135</v>
      </c>
      <c r="C238" t="s">
        <v>36</v>
      </c>
      <c r="D238" t="s">
        <v>231</v>
      </c>
      <c r="E238" t="s">
        <v>234</v>
      </c>
      <c r="F238" t="s">
        <v>51</v>
      </c>
      <c r="G238" t="s">
        <v>40</v>
      </c>
      <c r="H238">
        <v>3</v>
      </c>
      <c r="I238" s="5">
        <v>410004</v>
      </c>
      <c r="J238" s="5">
        <v>54337</v>
      </c>
      <c r="K238" s="5">
        <v>355667</v>
      </c>
      <c r="L238" s="5">
        <v>247769</v>
      </c>
      <c r="M238" s="5">
        <v>24909</v>
      </c>
      <c r="N238" s="5">
        <v>18839</v>
      </c>
      <c r="O238" s="5">
        <v>37111</v>
      </c>
      <c r="P238" s="5">
        <v>27039</v>
      </c>
      <c r="Q238">
        <v>5</v>
      </c>
      <c r="R238" t="s">
        <v>53</v>
      </c>
    </row>
    <row r="239" spans="1:18">
      <c r="A239" t="s">
        <v>292</v>
      </c>
      <c r="B239" s="4">
        <v>46150</v>
      </c>
      <c r="C239" t="s">
        <v>36</v>
      </c>
      <c r="D239" t="s">
        <v>231</v>
      </c>
      <c r="E239" t="s">
        <v>243</v>
      </c>
      <c r="F239" t="s">
        <v>46</v>
      </c>
      <c r="G239" t="s">
        <v>43</v>
      </c>
      <c r="H239">
        <v>1</v>
      </c>
      <c r="I239" s="5">
        <v>257629</v>
      </c>
      <c r="J239" s="5">
        <v>24853</v>
      </c>
      <c r="K239" s="5">
        <v>232776</v>
      </c>
      <c r="L239" s="5">
        <v>148308</v>
      </c>
      <c r="M239" s="5">
        <v>18403</v>
      </c>
      <c r="N239" s="5">
        <v>0</v>
      </c>
      <c r="O239" s="5">
        <v>50394</v>
      </c>
      <c r="P239" s="5">
        <v>15671</v>
      </c>
      <c r="Q239">
        <v>6</v>
      </c>
      <c r="R239" t="s">
        <v>41</v>
      </c>
    </row>
    <row r="240" spans="1:18">
      <c r="A240" t="s">
        <v>293</v>
      </c>
      <c r="B240" s="4">
        <v>46144</v>
      </c>
      <c r="C240" t="s">
        <v>36</v>
      </c>
      <c r="D240" t="s">
        <v>231</v>
      </c>
      <c r="E240" t="s">
        <v>239</v>
      </c>
      <c r="F240" t="s">
        <v>46</v>
      </c>
      <c r="G240" t="s">
        <v>43</v>
      </c>
      <c r="H240">
        <v>4</v>
      </c>
      <c r="I240" s="5">
        <v>373733</v>
      </c>
      <c r="J240" s="5">
        <v>52062</v>
      </c>
      <c r="K240" s="5">
        <v>321671</v>
      </c>
      <c r="L240" s="5">
        <v>212623</v>
      </c>
      <c r="M240" s="5">
        <v>25389</v>
      </c>
      <c r="N240" s="5">
        <v>0</v>
      </c>
      <c r="O240" s="5">
        <v>58232</v>
      </c>
      <c r="P240" s="5">
        <v>25427</v>
      </c>
      <c r="Q240">
        <v>4</v>
      </c>
      <c r="R240" t="s">
        <v>41</v>
      </c>
    </row>
    <row r="241" spans="1:18">
      <c r="A241" t="s">
        <v>294</v>
      </c>
      <c r="B241" s="4">
        <v>46136</v>
      </c>
      <c r="C241" t="s">
        <v>36</v>
      </c>
      <c r="D241" t="s">
        <v>231</v>
      </c>
      <c r="E241" t="s">
        <v>239</v>
      </c>
      <c r="F241" t="s">
        <v>39</v>
      </c>
      <c r="G241" t="s">
        <v>40</v>
      </c>
      <c r="H241">
        <v>1</v>
      </c>
      <c r="I241" s="5">
        <v>365640</v>
      </c>
      <c r="J241" s="5">
        <v>26057</v>
      </c>
      <c r="K241" s="5">
        <v>339583</v>
      </c>
      <c r="L241" s="5">
        <v>245350</v>
      </c>
      <c r="M241" s="5">
        <v>25784</v>
      </c>
      <c r="N241" s="5">
        <v>0</v>
      </c>
      <c r="O241" s="5">
        <v>50789</v>
      </c>
      <c r="P241" s="5">
        <v>17660</v>
      </c>
      <c r="Q241">
        <v>3</v>
      </c>
      <c r="R241" t="s">
        <v>41</v>
      </c>
    </row>
    <row r="242" spans="1:18">
      <c r="A242" t="s">
        <v>295</v>
      </c>
      <c r="B242" s="4">
        <v>46187</v>
      </c>
      <c r="C242" t="s">
        <v>36</v>
      </c>
      <c r="D242" t="s">
        <v>231</v>
      </c>
      <c r="E242" t="s">
        <v>232</v>
      </c>
      <c r="F242" t="s">
        <v>51</v>
      </c>
      <c r="G242" t="s">
        <v>40</v>
      </c>
      <c r="H242">
        <v>2</v>
      </c>
      <c r="I242" s="5">
        <v>248345</v>
      </c>
      <c r="J242" s="5">
        <v>39288</v>
      </c>
      <c r="K242" s="5">
        <v>209057</v>
      </c>
      <c r="L242" s="5">
        <v>120854</v>
      </c>
      <c r="M242" s="5">
        <v>17576</v>
      </c>
      <c r="N242" s="5">
        <v>0</v>
      </c>
      <c r="O242" s="5">
        <v>37930</v>
      </c>
      <c r="P242" s="5">
        <v>32697</v>
      </c>
      <c r="Q242">
        <v>2</v>
      </c>
      <c r="R242" t="s">
        <v>41</v>
      </c>
    </row>
    <row r="243" spans="1:18">
      <c r="A243" t="s">
        <v>296</v>
      </c>
      <c r="B243" s="4">
        <v>46141</v>
      </c>
      <c r="C243" t="s">
        <v>36</v>
      </c>
      <c r="D243" t="s">
        <v>231</v>
      </c>
      <c r="E243" t="s">
        <v>243</v>
      </c>
      <c r="F243" t="s">
        <v>39</v>
      </c>
      <c r="G243" t="s">
        <v>40</v>
      </c>
      <c r="H243">
        <v>2</v>
      </c>
      <c r="I243" s="5">
        <v>242411</v>
      </c>
      <c r="J243" s="5">
        <v>22975</v>
      </c>
      <c r="K243" s="5">
        <v>219436</v>
      </c>
      <c r="L243" s="5">
        <v>146840</v>
      </c>
      <c r="M243" s="5">
        <v>18843</v>
      </c>
      <c r="N243" s="5">
        <v>13613</v>
      </c>
      <c r="O243" s="5">
        <v>15591</v>
      </c>
      <c r="P243" s="5">
        <v>24549</v>
      </c>
      <c r="Q243">
        <v>2</v>
      </c>
      <c r="R243" t="s">
        <v>53</v>
      </c>
    </row>
    <row r="244" spans="1:18">
      <c r="A244" t="s">
        <v>297</v>
      </c>
      <c r="B244" s="4">
        <v>46203</v>
      </c>
      <c r="C244" t="s">
        <v>36</v>
      </c>
      <c r="D244" t="s">
        <v>231</v>
      </c>
      <c r="E244" t="s">
        <v>234</v>
      </c>
      <c r="F244" t="s">
        <v>49</v>
      </c>
      <c r="G244" t="s">
        <v>40</v>
      </c>
      <c r="H244">
        <v>5</v>
      </c>
      <c r="I244" s="5">
        <v>287480</v>
      </c>
      <c r="J244" s="5">
        <v>32366</v>
      </c>
      <c r="K244" s="5">
        <v>255114</v>
      </c>
      <c r="L244" s="5">
        <v>170748</v>
      </c>
      <c r="M244" s="5">
        <v>17008</v>
      </c>
      <c r="N244" s="5">
        <v>0</v>
      </c>
      <c r="O244" s="5">
        <v>40998</v>
      </c>
      <c r="P244" s="5">
        <v>26360</v>
      </c>
      <c r="Q244">
        <v>4</v>
      </c>
      <c r="R244" t="s">
        <v>41</v>
      </c>
    </row>
    <row r="245" spans="1:18">
      <c r="A245" t="s">
        <v>298</v>
      </c>
      <c r="B245" s="4">
        <v>46135</v>
      </c>
      <c r="C245" t="s">
        <v>36</v>
      </c>
      <c r="D245" t="s">
        <v>231</v>
      </c>
      <c r="E245" t="s">
        <v>243</v>
      </c>
      <c r="F245" t="s">
        <v>61</v>
      </c>
      <c r="G245" t="s">
        <v>40</v>
      </c>
      <c r="H245">
        <v>1</v>
      </c>
      <c r="I245" s="5">
        <v>209446</v>
      </c>
      <c r="J245" s="5">
        <v>36267</v>
      </c>
      <c r="K245" s="5">
        <v>173179</v>
      </c>
      <c r="L245" s="5">
        <v>112639</v>
      </c>
      <c r="M245" s="5">
        <v>14782</v>
      </c>
      <c r="N245" s="5">
        <v>0</v>
      </c>
      <c r="O245" s="5">
        <v>22179</v>
      </c>
      <c r="P245" s="5">
        <v>23579</v>
      </c>
      <c r="Q245">
        <v>2</v>
      </c>
      <c r="R245" t="s">
        <v>41</v>
      </c>
    </row>
    <row r="246" spans="1:18">
      <c r="A246" t="s">
        <v>299</v>
      </c>
      <c r="B246" s="4">
        <v>46138</v>
      </c>
      <c r="C246" t="s">
        <v>36</v>
      </c>
      <c r="D246" t="s">
        <v>231</v>
      </c>
      <c r="E246" t="s">
        <v>232</v>
      </c>
      <c r="F246" t="s">
        <v>39</v>
      </c>
      <c r="G246" t="s">
        <v>40</v>
      </c>
      <c r="H246">
        <v>3</v>
      </c>
      <c r="I246" s="5">
        <v>174781</v>
      </c>
      <c r="J246" s="5">
        <v>19694</v>
      </c>
      <c r="K246" s="5">
        <v>155087</v>
      </c>
      <c r="L246" s="5">
        <v>93578</v>
      </c>
      <c r="M246" s="5">
        <v>7722</v>
      </c>
      <c r="N246" s="5">
        <v>0</v>
      </c>
      <c r="O246" s="5">
        <v>27351</v>
      </c>
      <c r="P246" s="5">
        <v>26436</v>
      </c>
      <c r="Q246">
        <v>4</v>
      </c>
      <c r="R246" t="s">
        <v>41</v>
      </c>
    </row>
    <row r="247" spans="1:18">
      <c r="A247" t="s">
        <v>300</v>
      </c>
      <c r="B247" s="4">
        <v>46180</v>
      </c>
      <c r="C247" t="s">
        <v>36</v>
      </c>
      <c r="D247" t="s">
        <v>231</v>
      </c>
      <c r="E247" t="s">
        <v>234</v>
      </c>
      <c r="F247" t="s">
        <v>61</v>
      </c>
      <c r="G247" t="s">
        <v>43</v>
      </c>
      <c r="H247">
        <v>6</v>
      </c>
      <c r="I247" s="5">
        <v>209577</v>
      </c>
      <c r="J247" s="5">
        <v>26914</v>
      </c>
      <c r="K247" s="5">
        <v>182663</v>
      </c>
      <c r="L247" s="5">
        <v>122852</v>
      </c>
      <c r="M247" s="5">
        <v>10851</v>
      </c>
      <c r="N247" s="5">
        <v>0</v>
      </c>
      <c r="O247" s="5">
        <v>31549</v>
      </c>
      <c r="P247" s="5">
        <v>17411</v>
      </c>
      <c r="Q247">
        <v>3</v>
      </c>
      <c r="R247" t="s">
        <v>41</v>
      </c>
    </row>
    <row r="248" spans="1:18">
      <c r="A248" t="s">
        <v>301</v>
      </c>
      <c r="B248" s="4">
        <v>46133</v>
      </c>
      <c r="C248" t="s">
        <v>36</v>
      </c>
      <c r="D248" t="s">
        <v>231</v>
      </c>
      <c r="E248" t="s">
        <v>243</v>
      </c>
      <c r="F248" t="s">
        <v>46</v>
      </c>
      <c r="G248" t="s">
        <v>43</v>
      </c>
      <c r="H248">
        <v>2</v>
      </c>
      <c r="I248" s="5">
        <v>401879</v>
      </c>
      <c r="J248" s="5">
        <v>57392</v>
      </c>
      <c r="K248" s="5">
        <v>344487</v>
      </c>
      <c r="L248" s="5">
        <v>208633</v>
      </c>
      <c r="M248" s="5">
        <v>21820</v>
      </c>
      <c r="N248" s="5">
        <v>0</v>
      </c>
      <c r="O248" s="5">
        <v>72312</v>
      </c>
      <c r="P248" s="5">
        <v>41722</v>
      </c>
      <c r="Q248">
        <v>3</v>
      </c>
      <c r="R248" t="s">
        <v>41</v>
      </c>
    </row>
    <row r="249" spans="1:18">
      <c r="A249" t="s">
        <v>302</v>
      </c>
      <c r="B249" s="4">
        <v>46198</v>
      </c>
      <c r="C249" t="s">
        <v>36</v>
      </c>
      <c r="D249" t="s">
        <v>231</v>
      </c>
      <c r="E249" t="s">
        <v>232</v>
      </c>
      <c r="F249" t="s">
        <v>46</v>
      </c>
      <c r="G249" t="s">
        <v>43</v>
      </c>
      <c r="H249">
        <v>6</v>
      </c>
      <c r="I249" s="5">
        <v>287270</v>
      </c>
      <c r="J249" s="5">
        <v>28166</v>
      </c>
      <c r="K249" s="5">
        <v>259104</v>
      </c>
      <c r="L249" s="5">
        <v>165132</v>
      </c>
      <c r="M249" s="5">
        <v>18369</v>
      </c>
      <c r="N249" s="5">
        <v>0</v>
      </c>
      <c r="O249" s="5">
        <v>33760</v>
      </c>
      <c r="P249" s="5">
        <v>41843</v>
      </c>
      <c r="Q249">
        <v>1</v>
      </c>
      <c r="R249" t="s">
        <v>41</v>
      </c>
    </row>
    <row r="250" spans="1:18">
      <c r="A250" t="s">
        <v>303</v>
      </c>
      <c r="B250" s="4">
        <v>46163</v>
      </c>
      <c r="C250" t="s">
        <v>36</v>
      </c>
      <c r="D250" t="s">
        <v>231</v>
      </c>
      <c r="E250" t="s">
        <v>239</v>
      </c>
      <c r="F250" t="s">
        <v>51</v>
      </c>
      <c r="G250" t="s">
        <v>43</v>
      </c>
      <c r="H250">
        <v>5</v>
      </c>
      <c r="I250" s="5">
        <v>245641</v>
      </c>
      <c r="J250" s="5">
        <v>25329</v>
      </c>
      <c r="K250" s="5">
        <v>220312</v>
      </c>
      <c r="L250" s="5">
        <v>131445</v>
      </c>
      <c r="M250" s="5">
        <v>17268</v>
      </c>
      <c r="N250" s="5">
        <v>0</v>
      </c>
      <c r="O250" s="5">
        <v>27583</v>
      </c>
      <c r="P250" s="5">
        <v>44016</v>
      </c>
      <c r="Q250">
        <v>3</v>
      </c>
      <c r="R250" t="s">
        <v>41</v>
      </c>
    </row>
    <row r="251" spans="1:18">
      <c r="A251" t="s">
        <v>304</v>
      </c>
      <c r="B251" s="4">
        <v>46143</v>
      </c>
      <c r="C251" t="s">
        <v>36</v>
      </c>
      <c r="D251" t="s">
        <v>231</v>
      </c>
      <c r="E251" t="s">
        <v>234</v>
      </c>
      <c r="F251" t="s">
        <v>39</v>
      </c>
      <c r="G251" t="s">
        <v>40</v>
      </c>
      <c r="H251">
        <v>6</v>
      </c>
      <c r="I251" s="5">
        <v>177646</v>
      </c>
      <c r="J251" s="5">
        <v>21001</v>
      </c>
      <c r="K251" s="5">
        <v>156645</v>
      </c>
      <c r="L251" s="5">
        <v>95779</v>
      </c>
      <c r="M251" s="5">
        <v>8223</v>
      </c>
      <c r="N251" s="5">
        <v>0</v>
      </c>
      <c r="O251" s="5">
        <v>21314</v>
      </c>
      <c r="P251" s="5">
        <v>31329</v>
      </c>
      <c r="Q251">
        <v>5</v>
      </c>
      <c r="R251" t="s">
        <v>41</v>
      </c>
    </row>
    <row r="252" spans="1:18">
      <c r="A252" t="s">
        <v>305</v>
      </c>
      <c r="B252" s="4">
        <v>46170</v>
      </c>
      <c r="C252" t="s">
        <v>36</v>
      </c>
      <c r="D252" t="s">
        <v>231</v>
      </c>
      <c r="E252" t="s">
        <v>239</v>
      </c>
      <c r="F252" t="s">
        <v>39</v>
      </c>
      <c r="G252" t="s">
        <v>40</v>
      </c>
      <c r="H252">
        <v>2</v>
      </c>
      <c r="I252" s="5">
        <v>226767</v>
      </c>
      <c r="J252" s="5">
        <v>27515</v>
      </c>
      <c r="K252" s="5">
        <v>199252</v>
      </c>
      <c r="L252" s="5">
        <v>133374</v>
      </c>
      <c r="M252" s="5">
        <v>15342</v>
      </c>
      <c r="N252" s="5">
        <v>0</v>
      </c>
      <c r="O252" s="5">
        <v>30598</v>
      </c>
      <c r="P252" s="5">
        <v>19938</v>
      </c>
      <c r="Q252">
        <v>3</v>
      </c>
      <c r="R252" t="s">
        <v>41</v>
      </c>
    </row>
    <row r="253" spans="1:18">
      <c r="A253" t="s">
        <v>306</v>
      </c>
      <c r="B253" s="4">
        <v>46166</v>
      </c>
      <c r="C253" t="s">
        <v>36</v>
      </c>
      <c r="D253" t="s">
        <v>231</v>
      </c>
      <c r="E253" t="s">
        <v>232</v>
      </c>
      <c r="F253" t="s">
        <v>46</v>
      </c>
      <c r="G253" t="s">
        <v>43</v>
      </c>
      <c r="H253">
        <v>4</v>
      </c>
      <c r="I253" s="5">
        <v>234368</v>
      </c>
      <c r="J253" s="5">
        <v>23117</v>
      </c>
      <c r="K253" s="5">
        <v>211251</v>
      </c>
      <c r="L253" s="5">
        <v>138922</v>
      </c>
      <c r="M253" s="5">
        <v>16433</v>
      </c>
      <c r="N253" s="5">
        <v>8794</v>
      </c>
      <c r="O253" s="5">
        <v>20876</v>
      </c>
      <c r="P253" s="5">
        <v>26226</v>
      </c>
      <c r="Q253">
        <v>2</v>
      </c>
      <c r="R253" t="s">
        <v>53</v>
      </c>
    </row>
    <row r="254" spans="1:18">
      <c r="A254" t="s">
        <v>307</v>
      </c>
      <c r="B254" s="4">
        <v>46200</v>
      </c>
      <c r="C254" t="s">
        <v>36</v>
      </c>
      <c r="D254" t="s">
        <v>231</v>
      </c>
      <c r="E254" t="s">
        <v>232</v>
      </c>
      <c r="F254" t="s">
        <v>51</v>
      </c>
      <c r="G254" t="s">
        <v>43</v>
      </c>
      <c r="H254">
        <v>1</v>
      </c>
      <c r="I254" s="5">
        <v>351739</v>
      </c>
      <c r="J254" s="5">
        <v>31597</v>
      </c>
      <c r="K254" s="5">
        <v>320142</v>
      </c>
      <c r="L254" s="5">
        <v>227222</v>
      </c>
      <c r="M254" s="5">
        <v>27567</v>
      </c>
      <c r="N254" s="5">
        <v>0</v>
      </c>
      <c r="O254" s="5">
        <v>46330</v>
      </c>
      <c r="P254" s="5">
        <v>19023</v>
      </c>
      <c r="Q254">
        <v>4</v>
      </c>
      <c r="R254" t="s">
        <v>41</v>
      </c>
    </row>
    <row r="255" spans="1:18">
      <c r="A255" t="s">
        <v>308</v>
      </c>
      <c r="B255" s="4">
        <v>46156</v>
      </c>
      <c r="C255" t="s">
        <v>36</v>
      </c>
      <c r="D255" t="s">
        <v>231</v>
      </c>
      <c r="E255" t="s">
        <v>232</v>
      </c>
      <c r="F255" t="s">
        <v>46</v>
      </c>
      <c r="G255" t="s">
        <v>40</v>
      </c>
      <c r="H255">
        <v>6</v>
      </c>
      <c r="I255" s="5">
        <v>270432</v>
      </c>
      <c r="J255" s="5">
        <v>30498</v>
      </c>
      <c r="K255" s="5">
        <v>239934</v>
      </c>
      <c r="L255" s="5">
        <v>147323</v>
      </c>
      <c r="M255" s="5">
        <v>15221</v>
      </c>
      <c r="N255" s="5">
        <v>0</v>
      </c>
      <c r="O255" s="5">
        <v>53534</v>
      </c>
      <c r="P255" s="5">
        <v>23856</v>
      </c>
      <c r="Q255">
        <v>3</v>
      </c>
      <c r="R255" t="s">
        <v>41</v>
      </c>
    </row>
    <row r="256" spans="1:18">
      <c r="A256" t="s">
        <v>309</v>
      </c>
      <c r="B256" s="4">
        <v>46174</v>
      </c>
      <c r="C256" t="s">
        <v>36</v>
      </c>
      <c r="D256" t="s">
        <v>231</v>
      </c>
      <c r="E256" t="s">
        <v>239</v>
      </c>
      <c r="F256" t="s">
        <v>46</v>
      </c>
      <c r="G256" t="s">
        <v>40</v>
      </c>
      <c r="H256">
        <v>5</v>
      </c>
      <c r="I256" s="5">
        <v>339893</v>
      </c>
      <c r="J256" s="5">
        <v>62670</v>
      </c>
      <c r="K256" s="5">
        <v>277223</v>
      </c>
      <c r="L256" s="5">
        <v>190201</v>
      </c>
      <c r="M256" s="5">
        <v>18206</v>
      </c>
      <c r="N256" s="5">
        <v>0</v>
      </c>
      <c r="O256" s="5">
        <v>39243</v>
      </c>
      <c r="P256" s="5">
        <v>29573</v>
      </c>
      <c r="Q256">
        <v>5</v>
      </c>
      <c r="R256" t="s">
        <v>41</v>
      </c>
    </row>
    <row r="257" spans="1:18">
      <c r="A257" t="s">
        <v>310</v>
      </c>
      <c r="B257" s="4">
        <v>46202</v>
      </c>
      <c r="C257" t="s">
        <v>36</v>
      </c>
      <c r="D257" t="s">
        <v>231</v>
      </c>
      <c r="E257" t="s">
        <v>234</v>
      </c>
      <c r="F257" t="s">
        <v>39</v>
      </c>
      <c r="G257" t="s">
        <v>43</v>
      </c>
      <c r="H257">
        <v>2</v>
      </c>
      <c r="I257" s="5">
        <v>325401</v>
      </c>
      <c r="J257" s="5">
        <v>40918</v>
      </c>
      <c r="K257" s="5">
        <v>284483</v>
      </c>
      <c r="L257" s="5">
        <v>184482</v>
      </c>
      <c r="M257" s="5">
        <v>18263</v>
      </c>
      <c r="N257" s="5">
        <v>0</v>
      </c>
      <c r="O257" s="5">
        <v>64965</v>
      </c>
      <c r="P257" s="5">
        <v>16773</v>
      </c>
      <c r="Q257">
        <v>3</v>
      </c>
      <c r="R257" t="s">
        <v>41</v>
      </c>
    </row>
    <row r="258" spans="1:18">
      <c r="A258" t="s">
        <v>311</v>
      </c>
      <c r="B258" s="4">
        <v>46124</v>
      </c>
      <c r="C258" t="s">
        <v>36</v>
      </c>
      <c r="D258" t="s">
        <v>231</v>
      </c>
      <c r="E258" t="s">
        <v>234</v>
      </c>
      <c r="F258" t="s">
        <v>49</v>
      </c>
      <c r="G258" t="s">
        <v>43</v>
      </c>
      <c r="H258">
        <v>2</v>
      </c>
      <c r="I258" s="5">
        <v>211143</v>
      </c>
      <c r="J258" s="5">
        <v>29308</v>
      </c>
      <c r="K258" s="5">
        <v>181835</v>
      </c>
      <c r="L258" s="5">
        <v>112340</v>
      </c>
      <c r="M258" s="5">
        <v>12264</v>
      </c>
      <c r="N258" s="5">
        <v>4643</v>
      </c>
      <c r="O258" s="5">
        <v>24756</v>
      </c>
      <c r="P258" s="5">
        <v>27832</v>
      </c>
      <c r="Q258">
        <v>4</v>
      </c>
      <c r="R258" t="s">
        <v>53</v>
      </c>
    </row>
    <row r="259" spans="1:18">
      <c r="A259" t="s">
        <v>312</v>
      </c>
      <c r="B259" s="4">
        <v>46127</v>
      </c>
      <c r="C259" t="s">
        <v>36</v>
      </c>
      <c r="D259" t="s">
        <v>231</v>
      </c>
      <c r="E259" t="s">
        <v>234</v>
      </c>
      <c r="F259" t="s">
        <v>46</v>
      </c>
      <c r="G259" t="s">
        <v>43</v>
      </c>
      <c r="H259">
        <v>4</v>
      </c>
      <c r="I259" s="5">
        <v>364540</v>
      </c>
      <c r="J259" s="5">
        <v>47224</v>
      </c>
      <c r="K259" s="5">
        <v>317316</v>
      </c>
      <c r="L259" s="5">
        <v>213774</v>
      </c>
      <c r="M259" s="5">
        <v>28722</v>
      </c>
      <c r="N259" s="5">
        <v>0</v>
      </c>
      <c r="O259" s="5">
        <v>47392</v>
      </c>
      <c r="P259" s="5">
        <v>27428</v>
      </c>
      <c r="Q259">
        <v>4</v>
      </c>
      <c r="R259" t="s">
        <v>41</v>
      </c>
    </row>
    <row r="260" spans="1:18">
      <c r="A260" t="s">
        <v>313</v>
      </c>
      <c r="B260" s="4">
        <v>46161</v>
      </c>
      <c r="C260" t="s">
        <v>36</v>
      </c>
      <c r="D260" t="s">
        <v>231</v>
      </c>
      <c r="E260" t="s">
        <v>234</v>
      </c>
      <c r="F260" t="s">
        <v>51</v>
      </c>
      <c r="G260" t="s">
        <v>43</v>
      </c>
      <c r="H260">
        <v>1</v>
      </c>
      <c r="I260" s="5">
        <v>405512</v>
      </c>
      <c r="J260" s="5">
        <v>53401</v>
      </c>
      <c r="K260" s="5">
        <v>352111</v>
      </c>
      <c r="L260" s="5">
        <v>238153</v>
      </c>
      <c r="M260" s="5">
        <v>24371</v>
      </c>
      <c r="N260" s="5">
        <v>0</v>
      </c>
      <c r="O260" s="5">
        <v>60279</v>
      </c>
      <c r="P260" s="5">
        <v>29308</v>
      </c>
      <c r="Q260">
        <v>3</v>
      </c>
      <c r="R260" t="s">
        <v>41</v>
      </c>
    </row>
    <row r="261" spans="1:18">
      <c r="A261" t="s">
        <v>314</v>
      </c>
      <c r="B261" s="4">
        <v>46198</v>
      </c>
      <c r="C261" t="s">
        <v>36</v>
      </c>
      <c r="D261" t="s">
        <v>231</v>
      </c>
      <c r="E261" t="s">
        <v>239</v>
      </c>
      <c r="F261" t="s">
        <v>61</v>
      </c>
      <c r="G261" t="s">
        <v>43</v>
      </c>
      <c r="H261">
        <v>5</v>
      </c>
      <c r="I261" s="5">
        <v>306876</v>
      </c>
      <c r="J261" s="5">
        <v>32754</v>
      </c>
      <c r="K261" s="5">
        <v>274122</v>
      </c>
      <c r="L261" s="5">
        <v>179953</v>
      </c>
      <c r="M261" s="5">
        <v>18176</v>
      </c>
      <c r="N261" s="5">
        <v>15439</v>
      </c>
      <c r="O261" s="5">
        <v>43375</v>
      </c>
      <c r="P261" s="5">
        <v>17179</v>
      </c>
      <c r="Q261">
        <v>5</v>
      </c>
      <c r="R261" t="s">
        <v>53</v>
      </c>
    </row>
    <row r="262" spans="1:18">
      <c r="A262" t="s">
        <v>315</v>
      </c>
      <c r="B262" s="4">
        <v>46179</v>
      </c>
      <c r="C262" t="s">
        <v>36</v>
      </c>
      <c r="D262" t="s">
        <v>231</v>
      </c>
      <c r="E262" t="s">
        <v>243</v>
      </c>
      <c r="F262" t="s">
        <v>49</v>
      </c>
      <c r="G262" t="s">
        <v>43</v>
      </c>
      <c r="H262">
        <v>5</v>
      </c>
      <c r="I262" s="5">
        <v>252905</v>
      </c>
      <c r="J262" s="5">
        <v>15062</v>
      </c>
      <c r="K262" s="5">
        <v>237843</v>
      </c>
      <c r="L262" s="5">
        <v>150923</v>
      </c>
      <c r="M262" s="5">
        <v>13453</v>
      </c>
      <c r="N262" s="5">
        <v>0</v>
      </c>
      <c r="O262" s="5">
        <v>51083</v>
      </c>
      <c r="P262" s="5">
        <v>22384</v>
      </c>
      <c r="Q262">
        <v>4</v>
      </c>
      <c r="R262" t="s">
        <v>41</v>
      </c>
    </row>
    <row r="263" spans="1:18">
      <c r="A263" t="s">
        <v>316</v>
      </c>
      <c r="B263" s="4">
        <v>46177</v>
      </c>
      <c r="C263" t="s">
        <v>36</v>
      </c>
      <c r="D263" t="s">
        <v>231</v>
      </c>
      <c r="E263" t="s">
        <v>232</v>
      </c>
      <c r="F263" t="s">
        <v>61</v>
      </c>
      <c r="G263" t="s">
        <v>43</v>
      </c>
      <c r="H263">
        <v>2</v>
      </c>
      <c r="I263" s="5">
        <v>186411</v>
      </c>
      <c r="J263" s="5">
        <v>25967</v>
      </c>
      <c r="K263" s="5">
        <v>160444</v>
      </c>
      <c r="L263" s="5">
        <v>94966</v>
      </c>
      <c r="M263" s="5">
        <v>13283</v>
      </c>
      <c r="N263" s="5">
        <v>0</v>
      </c>
      <c r="O263" s="5">
        <v>29964</v>
      </c>
      <c r="P263" s="5">
        <v>22231</v>
      </c>
      <c r="Q263">
        <v>2</v>
      </c>
      <c r="R263" t="s">
        <v>41</v>
      </c>
    </row>
    <row r="264" spans="1:18">
      <c r="A264" t="s">
        <v>317</v>
      </c>
      <c r="B264" s="4">
        <v>46200</v>
      </c>
      <c r="C264" t="s">
        <v>36</v>
      </c>
      <c r="D264" t="s">
        <v>231</v>
      </c>
      <c r="E264" t="s">
        <v>243</v>
      </c>
      <c r="F264" t="s">
        <v>51</v>
      </c>
      <c r="G264" t="s">
        <v>40</v>
      </c>
      <c r="H264">
        <v>5</v>
      </c>
      <c r="I264" s="5">
        <v>357424</v>
      </c>
      <c r="J264" s="5">
        <v>46499</v>
      </c>
      <c r="K264" s="5">
        <v>310925</v>
      </c>
      <c r="L264" s="5">
        <v>193938</v>
      </c>
      <c r="M264" s="5">
        <v>18784</v>
      </c>
      <c r="N264" s="5">
        <v>9192</v>
      </c>
      <c r="O264" s="5">
        <v>55510</v>
      </c>
      <c r="P264" s="5">
        <v>33501</v>
      </c>
      <c r="Q264">
        <v>3</v>
      </c>
      <c r="R264" t="s">
        <v>53</v>
      </c>
    </row>
    <row r="265" spans="1:18">
      <c r="A265" t="s">
        <v>318</v>
      </c>
      <c r="B265" s="4">
        <v>46163</v>
      </c>
      <c r="C265" t="s">
        <v>36</v>
      </c>
      <c r="D265" t="s">
        <v>231</v>
      </c>
      <c r="E265" t="s">
        <v>234</v>
      </c>
      <c r="F265" t="s">
        <v>39</v>
      </c>
      <c r="G265" t="s">
        <v>43</v>
      </c>
      <c r="H265">
        <v>1</v>
      </c>
      <c r="I265" s="5">
        <v>179783</v>
      </c>
      <c r="J265" s="5">
        <v>19091</v>
      </c>
      <c r="K265" s="5">
        <v>160692</v>
      </c>
      <c r="L265" s="5">
        <v>97993</v>
      </c>
      <c r="M265" s="5">
        <v>8057</v>
      </c>
      <c r="N265" s="5">
        <v>0</v>
      </c>
      <c r="O265" s="5">
        <v>22504</v>
      </c>
      <c r="P265" s="5">
        <v>32138</v>
      </c>
      <c r="Q265">
        <v>6</v>
      </c>
      <c r="R265" t="s">
        <v>41</v>
      </c>
    </row>
    <row r="266" spans="1:18">
      <c r="A266" t="s">
        <v>319</v>
      </c>
      <c r="B266" s="4">
        <v>46131</v>
      </c>
      <c r="C266" t="s">
        <v>36</v>
      </c>
      <c r="D266" t="s">
        <v>231</v>
      </c>
      <c r="E266" t="s">
        <v>239</v>
      </c>
      <c r="F266" t="s">
        <v>61</v>
      </c>
      <c r="G266" t="s">
        <v>40</v>
      </c>
      <c r="H266">
        <v>3</v>
      </c>
      <c r="I266" s="5">
        <v>333381</v>
      </c>
      <c r="J266" s="5">
        <v>40382</v>
      </c>
      <c r="K266" s="5">
        <v>292999</v>
      </c>
      <c r="L266" s="5">
        <v>197960</v>
      </c>
      <c r="M266" s="5">
        <v>20907</v>
      </c>
      <c r="N266" s="5">
        <v>0</v>
      </c>
      <c r="O266" s="5">
        <v>53420</v>
      </c>
      <c r="P266" s="5">
        <v>20712</v>
      </c>
      <c r="Q266">
        <v>1</v>
      </c>
      <c r="R266" t="s">
        <v>41</v>
      </c>
    </row>
    <row r="267" spans="1:18">
      <c r="A267" t="s">
        <v>320</v>
      </c>
      <c r="B267" s="4">
        <v>46186</v>
      </c>
      <c r="C267" t="s">
        <v>36</v>
      </c>
      <c r="D267" t="s">
        <v>231</v>
      </c>
      <c r="E267" t="s">
        <v>243</v>
      </c>
      <c r="F267" t="s">
        <v>61</v>
      </c>
      <c r="G267" t="s">
        <v>40</v>
      </c>
      <c r="H267">
        <v>3</v>
      </c>
      <c r="I267" s="5">
        <v>281995</v>
      </c>
      <c r="J267" s="5">
        <v>44699</v>
      </c>
      <c r="K267" s="5">
        <v>237296</v>
      </c>
      <c r="L267" s="5">
        <v>166391</v>
      </c>
      <c r="M267" s="5">
        <v>15469</v>
      </c>
      <c r="N267" s="5">
        <v>0</v>
      </c>
      <c r="O267" s="5">
        <v>37362</v>
      </c>
      <c r="P267" s="5">
        <v>18074</v>
      </c>
      <c r="Q267">
        <v>1</v>
      </c>
      <c r="R267" t="s">
        <v>41</v>
      </c>
    </row>
    <row r="268" spans="1:18">
      <c r="A268" t="s">
        <v>321</v>
      </c>
      <c r="B268" s="4">
        <v>46155</v>
      </c>
      <c r="C268" t="s">
        <v>36</v>
      </c>
      <c r="D268" t="s">
        <v>231</v>
      </c>
      <c r="E268" t="s">
        <v>232</v>
      </c>
      <c r="F268" t="s">
        <v>61</v>
      </c>
      <c r="G268" t="s">
        <v>43</v>
      </c>
      <c r="H268">
        <v>3</v>
      </c>
      <c r="I268" s="5">
        <v>365875</v>
      </c>
      <c r="J268" s="5">
        <v>25676</v>
      </c>
      <c r="K268" s="5">
        <v>340199</v>
      </c>
      <c r="L268" s="5">
        <v>234418</v>
      </c>
      <c r="M268" s="5">
        <v>24055</v>
      </c>
      <c r="N268" s="5">
        <v>0</v>
      </c>
      <c r="O268" s="5">
        <v>57765</v>
      </c>
      <c r="P268" s="5">
        <v>23961</v>
      </c>
      <c r="Q268">
        <v>4</v>
      </c>
      <c r="R268" t="s">
        <v>41</v>
      </c>
    </row>
    <row r="269" spans="1:18">
      <c r="A269" t="s">
        <v>322</v>
      </c>
      <c r="B269" s="4">
        <v>46175</v>
      </c>
      <c r="C269" t="s">
        <v>36</v>
      </c>
      <c r="D269" t="s">
        <v>231</v>
      </c>
      <c r="E269" t="s">
        <v>239</v>
      </c>
      <c r="F269" t="s">
        <v>51</v>
      </c>
      <c r="G269" t="s">
        <v>40</v>
      </c>
      <c r="H269">
        <v>3</v>
      </c>
      <c r="I269" s="5">
        <v>282939</v>
      </c>
      <c r="J269" s="5">
        <v>32721</v>
      </c>
      <c r="K269" s="5">
        <v>250218</v>
      </c>
      <c r="L269" s="5">
        <v>156045</v>
      </c>
      <c r="M269" s="5">
        <v>14934</v>
      </c>
      <c r="N269" s="5">
        <v>0</v>
      </c>
      <c r="O269" s="5">
        <v>36097</v>
      </c>
      <c r="P269" s="5">
        <v>43142</v>
      </c>
      <c r="Q269">
        <v>3</v>
      </c>
      <c r="R269" t="s">
        <v>41</v>
      </c>
    </row>
    <row r="270" spans="1:18">
      <c r="A270" t="s">
        <v>323</v>
      </c>
      <c r="B270" s="4">
        <v>46195</v>
      </c>
      <c r="C270" t="s">
        <v>36</v>
      </c>
      <c r="D270" t="s">
        <v>231</v>
      </c>
      <c r="E270" t="s">
        <v>239</v>
      </c>
      <c r="F270" t="s">
        <v>51</v>
      </c>
      <c r="G270" t="s">
        <v>43</v>
      </c>
      <c r="H270">
        <v>2</v>
      </c>
      <c r="I270" s="5">
        <v>321536</v>
      </c>
      <c r="J270" s="5">
        <v>47386</v>
      </c>
      <c r="K270" s="5">
        <v>274150</v>
      </c>
      <c r="L270" s="5">
        <v>188105</v>
      </c>
      <c r="M270" s="5">
        <v>17649</v>
      </c>
      <c r="N270" s="5">
        <v>0</v>
      </c>
      <c r="O270" s="5">
        <v>43615</v>
      </c>
      <c r="P270" s="5">
        <v>24781</v>
      </c>
      <c r="Q270">
        <v>3</v>
      </c>
      <c r="R270" t="s">
        <v>41</v>
      </c>
    </row>
    <row r="271" spans="1:18">
      <c r="A271" t="s">
        <v>324</v>
      </c>
      <c r="B271" s="4">
        <v>46120</v>
      </c>
      <c r="C271" t="s">
        <v>36</v>
      </c>
      <c r="D271" t="s">
        <v>231</v>
      </c>
      <c r="E271" t="s">
        <v>232</v>
      </c>
      <c r="F271" t="s">
        <v>61</v>
      </c>
      <c r="G271" t="s">
        <v>43</v>
      </c>
      <c r="H271">
        <v>6</v>
      </c>
      <c r="I271" s="5">
        <v>156104</v>
      </c>
      <c r="J271" s="5">
        <v>21952</v>
      </c>
      <c r="K271" s="5">
        <v>134152</v>
      </c>
      <c r="L271" s="5">
        <v>77658</v>
      </c>
      <c r="M271" s="5">
        <v>8656</v>
      </c>
      <c r="N271" s="5">
        <v>0</v>
      </c>
      <c r="O271" s="5">
        <v>21008</v>
      </c>
      <c r="P271" s="5">
        <v>26830</v>
      </c>
      <c r="Q271">
        <v>2</v>
      </c>
      <c r="R271" t="s">
        <v>41</v>
      </c>
    </row>
    <row r="272" spans="1:18">
      <c r="A272" t="s">
        <v>325</v>
      </c>
      <c r="B272" s="4">
        <v>46138</v>
      </c>
      <c r="C272" t="s">
        <v>36</v>
      </c>
      <c r="D272" t="s">
        <v>231</v>
      </c>
      <c r="E272" t="s">
        <v>239</v>
      </c>
      <c r="F272" t="s">
        <v>51</v>
      </c>
      <c r="G272" t="s">
        <v>40</v>
      </c>
      <c r="H272">
        <v>4</v>
      </c>
      <c r="I272" s="5">
        <v>141022</v>
      </c>
      <c r="J272" s="5">
        <v>12850</v>
      </c>
      <c r="K272" s="5">
        <v>128172</v>
      </c>
      <c r="L272" s="5">
        <v>77581</v>
      </c>
      <c r="M272" s="5">
        <v>9758</v>
      </c>
      <c r="N272" s="5">
        <v>3866</v>
      </c>
      <c r="O272" s="5">
        <v>11333</v>
      </c>
      <c r="P272" s="5">
        <v>25634</v>
      </c>
      <c r="Q272">
        <v>3</v>
      </c>
      <c r="R272" t="s">
        <v>53</v>
      </c>
    </row>
    <row r="273" spans="1:18">
      <c r="A273" t="s">
        <v>326</v>
      </c>
      <c r="B273" s="4">
        <v>46163</v>
      </c>
      <c r="C273" t="s">
        <v>36</v>
      </c>
      <c r="D273" t="s">
        <v>231</v>
      </c>
      <c r="E273" t="s">
        <v>239</v>
      </c>
      <c r="F273" t="s">
        <v>61</v>
      </c>
      <c r="G273" t="s">
        <v>40</v>
      </c>
      <c r="H273">
        <v>3</v>
      </c>
      <c r="I273" s="5">
        <v>376609</v>
      </c>
      <c r="J273" s="5">
        <v>53265</v>
      </c>
      <c r="K273" s="5">
        <v>323344</v>
      </c>
      <c r="L273" s="5">
        <v>208428</v>
      </c>
      <c r="M273" s="5">
        <v>22318</v>
      </c>
      <c r="N273" s="5">
        <v>0</v>
      </c>
      <c r="O273" s="5">
        <v>67896</v>
      </c>
      <c r="P273" s="5">
        <v>24702</v>
      </c>
      <c r="Q273">
        <v>4</v>
      </c>
      <c r="R273" t="s">
        <v>41</v>
      </c>
    </row>
    <row r="274" spans="1:18">
      <c r="A274" t="s">
        <v>327</v>
      </c>
      <c r="B274" s="4">
        <v>46157</v>
      </c>
      <c r="C274" t="s">
        <v>36</v>
      </c>
      <c r="D274" t="s">
        <v>231</v>
      </c>
      <c r="E274" t="s">
        <v>232</v>
      </c>
      <c r="F274" t="s">
        <v>39</v>
      </c>
      <c r="G274" t="s">
        <v>40</v>
      </c>
      <c r="H274">
        <v>3</v>
      </c>
      <c r="I274" s="5">
        <v>373934</v>
      </c>
      <c r="J274" s="5">
        <v>26942</v>
      </c>
      <c r="K274" s="5">
        <v>346992</v>
      </c>
      <c r="L274" s="5">
        <v>246900</v>
      </c>
      <c r="M274" s="5">
        <v>25443</v>
      </c>
      <c r="N274" s="5">
        <v>0</v>
      </c>
      <c r="O274" s="5">
        <v>49793</v>
      </c>
      <c r="P274" s="5">
        <v>24856</v>
      </c>
      <c r="Q274">
        <v>3</v>
      </c>
      <c r="R274" t="s">
        <v>41</v>
      </c>
    </row>
    <row r="275" spans="1:18">
      <c r="A275" t="s">
        <v>328</v>
      </c>
      <c r="B275" s="4">
        <v>46141</v>
      </c>
      <c r="C275" t="s">
        <v>36</v>
      </c>
      <c r="D275" t="s">
        <v>231</v>
      </c>
      <c r="E275" t="s">
        <v>232</v>
      </c>
      <c r="F275" t="s">
        <v>51</v>
      </c>
      <c r="G275" t="s">
        <v>43</v>
      </c>
      <c r="H275">
        <v>6</v>
      </c>
      <c r="I275" s="5">
        <v>319103</v>
      </c>
      <c r="J275" s="5">
        <v>38613</v>
      </c>
      <c r="K275" s="5">
        <v>280490</v>
      </c>
      <c r="L275" s="5">
        <v>182640</v>
      </c>
      <c r="M275" s="5">
        <v>22006</v>
      </c>
      <c r="N275" s="5">
        <v>0</v>
      </c>
      <c r="O275" s="5">
        <v>36673</v>
      </c>
      <c r="P275" s="5">
        <v>39171</v>
      </c>
      <c r="Q275">
        <v>3</v>
      </c>
      <c r="R275" t="s">
        <v>41</v>
      </c>
    </row>
    <row r="276" spans="1:18">
      <c r="A276" t="s">
        <v>329</v>
      </c>
      <c r="B276" s="4">
        <v>46195</v>
      </c>
      <c r="C276" t="s">
        <v>36</v>
      </c>
      <c r="D276" t="s">
        <v>231</v>
      </c>
      <c r="E276" t="s">
        <v>232</v>
      </c>
      <c r="F276" t="s">
        <v>49</v>
      </c>
      <c r="G276" t="s">
        <v>40</v>
      </c>
      <c r="H276">
        <v>2</v>
      </c>
      <c r="I276" s="5">
        <v>338829</v>
      </c>
      <c r="J276" s="5">
        <v>35260</v>
      </c>
      <c r="K276" s="5">
        <v>303569</v>
      </c>
      <c r="L276" s="5">
        <v>197374</v>
      </c>
      <c r="M276" s="5">
        <v>23862</v>
      </c>
      <c r="N276" s="5">
        <v>17484</v>
      </c>
      <c r="O276" s="5">
        <v>24366</v>
      </c>
      <c r="P276" s="5">
        <v>40483</v>
      </c>
      <c r="Q276">
        <v>3</v>
      </c>
      <c r="R276" t="s">
        <v>53</v>
      </c>
    </row>
    <row r="277" spans="1:18">
      <c r="A277" t="s">
        <v>330</v>
      </c>
      <c r="B277" s="4">
        <v>46167</v>
      </c>
      <c r="C277" t="s">
        <v>36</v>
      </c>
      <c r="D277" t="s">
        <v>231</v>
      </c>
      <c r="E277" t="s">
        <v>243</v>
      </c>
      <c r="F277" t="s">
        <v>39</v>
      </c>
      <c r="G277" t="s">
        <v>43</v>
      </c>
      <c r="H277">
        <v>3</v>
      </c>
      <c r="I277" s="5">
        <v>245880</v>
      </c>
      <c r="J277" s="5">
        <v>26813</v>
      </c>
      <c r="K277" s="5">
        <v>219067</v>
      </c>
      <c r="L277" s="5">
        <v>123990</v>
      </c>
      <c r="M277" s="5">
        <v>17294</v>
      </c>
      <c r="N277" s="5">
        <v>0</v>
      </c>
      <c r="O277" s="5">
        <v>33970</v>
      </c>
      <c r="P277" s="5">
        <v>43813</v>
      </c>
      <c r="Q277">
        <v>6</v>
      </c>
      <c r="R277" t="s">
        <v>41</v>
      </c>
    </row>
    <row r="278" spans="1:18">
      <c r="A278" t="s">
        <v>331</v>
      </c>
      <c r="B278" s="4">
        <v>46113</v>
      </c>
      <c r="C278" t="s">
        <v>36</v>
      </c>
      <c r="D278" t="s">
        <v>231</v>
      </c>
      <c r="E278" t="s">
        <v>234</v>
      </c>
      <c r="F278" t="s">
        <v>49</v>
      </c>
      <c r="G278" t="s">
        <v>43</v>
      </c>
      <c r="H278">
        <v>3</v>
      </c>
      <c r="I278" s="5">
        <v>364601</v>
      </c>
      <c r="J278" s="5">
        <v>42254</v>
      </c>
      <c r="K278" s="5">
        <v>322347</v>
      </c>
      <c r="L278" s="5">
        <v>220532</v>
      </c>
      <c r="M278" s="5">
        <v>25772</v>
      </c>
      <c r="N278" s="5">
        <v>0</v>
      </c>
      <c r="O278" s="5">
        <v>57101</v>
      </c>
      <c r="P278" s="5">
        <v>18942</v>
      </c>
      <c r="Q278">
        <v>4</v>
      </c>
      <c r="R278" t="s">
        <v>41</v>
      </c>
    </row>
    <row r="279" spans="1:18">
      <c r="A279" t="s">
        <v>332</v>
      </c>
      <c r="B279" s="4">
        <v>46148</v>
      </c>
      <c r="C279" t="s">
        <v>36</v>
      </c>
      <c r="D279" t="s">
        <v>231</v>
      </c>
      <c r="E279" t="s">
        <v>234</v>
      </c>
      <c r="F279" t="s">
        <v>39</v>
      </c>
      <c r="G279" t="s">
        <v>40</v>
      </c>
      <c r="H279">
        <v>2</v>
      </c>
      <c r="I279" s="5">
        <v>193823</v>
      </c>
      <c r="J279" s="5">
        <v>18205</v>
      </c>
      <c r="K279" s="5">
        <v>175618</v>
      </c>
      <c r="L279" s="5">
        <v>107378</v>
      </c>
      <c r="M279" s="5">
        <v>10742</v>
      </c>
      <c r="N279" s="5">
        <v>0</v>
      </c>
      <c r="O279" s="5">
        <v>33061</v>
      </c>
      <c r="P279" s="5">
        <v>24437</v>
      </c>
      <c r="Q279">
        <v>2</v>
      </c>
      <c r="R279" t="s">
        <v>41</v>
      </c>
    </row>
    <row r="280" spans="1:18">
      <c r="A280" t="s">
        <v>333</v>
      </c>
      <c r="B280" s="4">
        <v>46164</v>
      </c>
      <c r="C280" t="s">
        <v>36</v>
      </c>
      <c r="D280" t="s">
        <v>231</v>
      </c>
      <c r="E280" t="s">
        <v>234</v>
      </c>
      <c r="F280" t="s">
        <v>51</v>
      </c>
      <c r="G280" t="s">
        <v>40</v>
      </c>
      <c r="H280">
        <v>6</v>
      </c>
      <c r="I280" s="5">
        <v>316493</v>
      </c>
      <c r="J280" s="5">
        <v>26650</v>
      </c>
      <c r="K280" s="5">
        <v>289843</v>
      </c>
      <c r="L280" s="5">
        <v>169048</v>
      </c>
      <c r="M280" s="5">
        <v>23266</v>
      </c>
      <c r="N280" s="5">
        <v>0</v>
      </c>
      <c r="O280" s="5">
        <v>54433</v>
      </c>
      <c r="P280" s="5">
        <v>43096</v>
      </c>
      <c r="Q280">
        <v>3</v>
      </c>
      <c r="R280" t="s">
        <v>41</v>
      </c>
    </row>
    <row r="281" spans="1:18">
      <c r="A281" t="s">
        <v>334</v>
      </c>
      <c r="B281" s="4">
        <v>46187</v>
      </c>
      <c r="C281" t="s">
        <v>36</v>
      </c>
      <c r="D281" t="s">
        <v>231</v>
      </c>
      <c r="E281" t="s">
        <v>232</v>
      </c>
      <c r="F281" t="s">
        <v>39</v>
      </c>
      <c r="G281" t="s">
        <v>40</v>
      </c>
      <c r="H281">
        <v>6</v>
      </c>
      <c r="I281" s="5">
        <v>132978</v>
      </c>
      <c r="J281" s="5">
        <v>10732</v>
      </c>
      <c r="K281" s="5">
        <v>122246</v>
      </c>
      <c r="L281" s="5">
        <v>77210</v>
      </c>
      <c r="M281" s="5">
        <v>7723</v>
      </c>
      <c r="N281" s="5">
        <v>0</v>
      </c>
      <c r="O281" s="5">
        <v>16444</v>
      </c>
      <c r="P281" s="5">
        <v>20869</v>
      </c>
      <c r="Q281">
        <v>3</v>
      </c>
      <c r="R281" t="s">
        <v>41</v>
      </c>
    </row>
    <row r="282" spans="1:18">
      <c r="A282" t="s">
        <v>335</v>
      </c>
      <c r="B282" s="4">
        <v>46134</v>
      </c>
      <c r="C282" t="s">
        <v>36</v>
      </c>
      <c r="D282" t="s">
        <v>231</v>
      </c>
      <c r="E282" t="s">
        <v>232</v>
      </c>
      <c r="F282" t="s">
        <v>39</v>
      </c>
      <c r="G282" t="s">
        <v>40</v>
      </c>
      <c r="H282">
        <v>4</v>
      </c>
      <c r="I282" s="5">
        <v>254211</v>
      </c>
      <c r="J282" s="5">
        <v>12733</v>
      </c>
      <c r="K282" s="5">
        <v>241478</v>
      </c>
      <c r="L282" s="5">
        <v>165442</v>
      </c>
      <c r="M282" s="5">
        <v>18872</v>
      </c>
      <c r="N282" s="5">
        <v>0</v>
      </c>
      <c r="O282" s="5">
        <v>32920</v>
      </c>
      <c r="P282" s="5">
        <v>24244</v>
      </c>
      <c r="Q282">
        <v>3</v>
      </c>
      <c r="R282" t="s">
        <v>41</v>
      </c>
    </row>
    <row r="283" spans="1:18">
      <c r="A283" t="s">
        <v>336</v>
      </c>
      <c r="B283" s="4">
        <v>46200</v>
      </c>
      <c r="C283" t="s">
        <v>36</v>
      </c>
      <c r="D283" t="s">
        <v>231</v>
      </c>
      <c r="E283" t="s">
        <v>234</v>
      </c>
      <c r="F283" t="s">
        <v>61</v>
      </c>
      <c r="G283" t="s">
        <v>40</v>
      </c>
      <c r="H283">
        <v>3</v>
      </c>
      <c r="I283" s="5">
        <v>240650</v>
      </c>
      <c r="J283" s="5">
        <v>30993</v>
      </c>
      <c r="K283" s="5">
        <v>209657</v>
      </c>
      <c r="L283" s="5">
        <v>126255</v>
      </c>
      <c r="M283" s="5">
        <v>15182</v>
      </c>
      <c r="N283" s="5">
        <v>0</v>
      </c>
      <c r="O283" s="5">
        <v>26289</v>
      </c>
      <c r="P283" s="5">
        <v>41931</v>
      </c>
      <c r="Q283">
        <v>4</v>
      </c>
      <c r="R283" t="s">
        <v>41</v>
      </c>
    </row>
    <row r="284" spans="1:18">
      <c r="A284" t="s">
        <v>337</v>
      </c>
      <c r="B284" s="4">
        <v>46187</v>
      </c>
      <c r="C284" t="s">
        <v>36</v>
      </c>
      <c r="D284" t="s">
        <v>231</v>
      </c>
      <c r="E284" t="s">
        <v>234</v>
      </c>
      <c r="F284" t="s">
        <v>46</v>
      </c>
      <c r="G284" t="s">
        <v>40</v>
      </c>
      <c r="H284">
        <v>4</v>
      </c>
      <c r="I284" s="5">
        <v>305627</v>
      </c>
      <c r="J284" s="5">
        <v>37233</v>
      </c>
      <c r="K284" s="5">
        <v>268394</v>
      </c>
      <c r="L284" s="5">
        <v>161269</v>
      </c>
      <c r="M284" s="5">
        <v>21449</v>
      </c>
      <c r="N284" s="5">
        <v>0</v>
      </c>
      <c r="O284" s="5">
        <v>41941</v>
      </c>
      <c r="P284" s="5">
        <v>43735</v>
      </c>
      <c r="Q284">
        <v>6</v>
      </c>
      <c r="R284" t="s">
        <v>41</v>
      </c>
    </row>
    <row r="285" spans="1:18">
      <c r="A285" t="s">
        <v>338</v>
      </c>
      <c r="B285" s="4">
        <v>46137</v>
      </c>
      <c r="C285" t="s">
        <v>36</v>
      </c>
      <c r="D285" t="s">
        <v>231</v>
      </c>
      <c r="E285" t="s">
        <v>239</v>
      </c>
      <c r="F285" t="s">
        <v>46</v>
      </c>
      <c r="G285" t="s">
        <v>43</v>
      </c>
      <c r="H285">
        <v>4</v>
      </c>
      <c r="I285" s="5">
        <v>332254</v>
      </c>
      <c r="J285" s="5">
        <v>52115</v>
      </c>
      <c r="K285" s="5">
        <v>280139</v>
      </c>
      <c r="L285" s="5">
        <v>187869</v>
      </c>
      <c r="M285" s="5">
        <v>21764</v>
      </c>
      <c r="N285" s="5">
        <v>0</v>
      </c>
      <c r="O285" s="5">
        <v>46939</v>
      </c>
      <c r="P285" s="5">
        <v>23567</v>
      </c>
      <c r="Q285">
        <v>4</v>
      </c>
      <c r="R285" t="s">
        <v>41</v>
      </c>
    </row>
    <row r="286" spans="1:18">
      <c r="A286" t="s">
        <v>339</v>
      </c>
      <c r="B286" s="4">
        <v>46185</v>
      </c>
      <c r="C286" t="s">
        <v>36</v>
      </c>
      <c r="D286" t="s">
        <v>231</v>
      </c>
      <c r="E286" t="s">
        <v>243</v>
      </c>
      <c r="F286" t="s">
        <v>51</v>
      </c>
      <c r="G286" t="s">
        <v>43</v>
      </c>
      <c r="H286">
        <v>6</v>
      </c>
      <c r="I286" s="5">
        <v>324850</v>
      </c>
      <c r="J286" s="5">
        <v>56772</v>
      </c>
      <c r="K286" s="5">
        <v>268078</v>
      </c>
      <c r="L286" s="5">
        <v>160970</v>
      </c>
      <c r="M286" s="5">
        <v>15812</v>
      </c>
      <c r="N286" s="5">
        <v>0</v>
      </c>
      <c r="O286" s="5">
        <v>55713</v>
      </c>
      <c r="P286" s="5">
        <v>35583</v>
      </c>
      <c r="Q286">
        <v>4</v>
      </c>
      <c r="R286" t="s">
        <v>41</v>
      </c>
    </row>
    <row r="287" spans="1:18">
      <c r="A287" t="s">
        <v>340</v>
      </c>
      <c r="B287" s="4">
        <v>46120</v>
      </c>
      <c r="C287" t="s">
        <v>36</v>
      </c>
      <c r="D287" t="s">
        <v>231</v>
      </c>
      <c r="E287" t="s">
        <v>239</v>
      </c>
      <c r="F287" t="s">
        <v>46</v>
      </c>
      <c r="G287" t="s">
        <v>43</v>
      </c>
      <c r="H287">
        <v>2</v>
      </c>
      <c r="I287" s="5">
        <v>267073</v>
      </c>
      <c r="J287" s="5">
        <v>31004</v>
      </c>
      <c r="K287" s="5">
        <v>236069</v>
      </c>
      <c r="L287" s="5">
        <v>146643</v>
      </c>
      <c r="M287" s="5">
        <v>20545</v>
      </c>
      <c r="N287" s="5">
        <v>0</v>
      </c>
      <c r="O287" s="5">
        <v>39371</v>
      </c>
      <c r="P287" s="5">
        <v>29510</v>
      </c>
      <c r="Q287">
        <v>4</v>
      </c>
      <c r="R287" t="s">
        <v>41</v>
      </c>
    </row>
    <row r="288" spans="1:18">
      <c r="A288" t="s">
        <v>341</v>
      </c>
      <c r="B288" s="4">
        <v>46124</v>
      </c>
      <c r="C288" t="s">
        <v>36</v>
      </c>
      <c r="D288" t="s">
        <v>231</v>
      </c>
      <c r="E288" t="s">
        <v>232</v>
      </c>
      <c r="F288" t="s">
        <v>49</v>
      </c>
      <c r="G288" t="s">
        <v>43</v>
      </c>
      <c r="H288">
        <v>6</v>
      </c>
      <c r="I288" s="5">
        <v>266948</v>
      </c>
      <c r="J288" s="5">
        <v>29763</v>
      </c>
      <c r="K288" s="5">
        <v>237185</v>
      </c>
      <c r="L288" s="5">
        <v>153615</v>
      </c>
      <c r="M288" s="5">
        <v>16326</v>
      </c>
      <c r="N288" s="5">
        <v>0</v>
      </c>
      <c r="O288" s="5">
        <v>35207</v>
      </c>
      <c r="P288" s="5">
        <v>32037</v>
      </c>
      <c r="Q288">
        <v>2</v>
      </c>
      <c r="R288" t="s">
        <v>41</v>
      </c>
    </row>
    <row r="289" spans="1:18">
      <c r="A289" t="s">
        <v>342</v>
      </c>
      <c r="B289" s="4">
        <v>46160</v>
      </c>
      <c r="C289" t="s">
        <v>36</v>
      </c>
      <c r="D289" t="s">
        <v>231</v>
      </c>
      <c r="E289" t="s">
        <v>239</v>
      </c>
      <c r="F289" t="s">
        <v>39</v>
      </c>
      <c r="G289" t="s">
        <v>40</v>
      </c>
      <c r="H289">
        <v>1</v>
      </c>
      <c r="I289" s="5">
        <v>131719</v>
      </c>
      <c r="J289" s="5">
        <v>10081</v>
      </c>
      <c r="K289" s="5">
        <v>121638</v>
      </c>
      <c r="L289" s="5">
        <v>71957</v>
      </c>
      <c r="M289" s="5">
        <v>5990</v>
      </c>
      <c r="N289" s="5">
        <v>0</v>
      </c>
      <c r="O289" s="5">
        <v>21584</v>
      </c>
      <c r="P289" s="5">
        <v>22107</v>
      </c>
      <c r="Q289">
        <v>4</v>
      </c>
      <c r="R289" t="s">
        <v>41</v>
      </c>
    </row>
    <row r="290" spans="1:18">
      <c r="A290" t="s">
        <v>343</v>
      </c>
      <c r="B290" s="4">
        <v>46129</v>
      </c>
      <c r="C290" t="s">
        <v>36</v>
      </c>
      <c r="D290" t="s">
        <v>231</v>
      </c>
      <c r="E290" t="s">
        <v>239</v>
      </c>
      <c r="F290" t="s">
        <v>46</v>
      </c>
      <c r="G290" t="s">
        <v>43</v>
      </c>
      <c r="H290">
        <v>2</v>
      </c>
      <c r="I290" s="5">
        <v>276919</v>
      </c>
      <c r="J290" s="5">
        <v>24418</v>
      </c>
      <c r="K290" s="5">
        <v>252501</v>
      </c>
      <c r="L290" s="5">
        <v>159031</v>
      </c>
      <c r="M290" s="5">
        <v>19865</v>
      </c>
      <c r="N290" s="5">
        <v>0</v>
      </c>
      <c r="O290" s="5">
        <v>47518</v>
      </c>
      <c r="P290" s="5">
        <v>26087</v>
      </c>
      <c r="Q290">
        <v>1</v>
      </c>
      <c r="R290" t="s">
        <v>41</v>
      </c>
    </row>
    <row r="291" spans="1:18">
      <c r="A291" t="s">
        <v>344</v>
      </c>
      <c r="B291" s="4">
        <v>46180</v>
      </c>
      <c r="C291" t="s">
        <v>36</v>
      </c>
      <c r="D291" t="s">
        <v>231</v>
      </c>
      <c r="E291" t="s">
        <v>234</v>
      </c>
      <c r="F291" t="s">
        <v>46</v>
      </c>
      <c r="G291" t="s">
        <v>40</v>
      </c>
      <c r="H291">
        <v>3</v>
      </c>
      <c r="I291" s="5">
        <v>139626</v>
      </c>
      <c r="J291" s="5">
        <v>16730</v>
      </c>
      <c r="K291" s="5">
        <v>122896</v>
      </c>
      <c r="L291" s="5">
        <v>75248</v>
      </c>
      <c r="M291" s="5">
        <v>7692</v>
      </c>
      <c r="N291" s="5">
        <v>0</v>
      </c>
      <c r="O291" s="5">
        <v>15377</v>
      </c>
      <c r="P291" s="5">
        <v>24579</v>
      </c>
      <c r="Q291">
        <v>3</v>
      </c>
      <c r="R291" t="s">
        <v>41</v>
      </c>
    </row>
    <row r="292" spans="1:18">
      <c r="A292" t="s">
        <v>345</v>
      </c>
      <c r="B292" s="4">
        <v>46164</v>
      </c>
      <c r="C292" t="s">
        <v>36</v>
      </c>
      <c r="D292" t="s">
        <v>231</v>
      </c>
      <c r="E292" t="s">
        <v>239</v>
      </c>
      <c r="F292" t="s">
        <v>51</v>
      </c>
      <c r="G292" t="s">
        <v>40</v>
      </c>
      <c r="H292">
        <v>6</v>
      </c>
      <c r="I292" s="5">
        <v>290993</v>
      </c>
      <c r="J292" s="5">
        <v>43828</v>
      </c>
      <c r="K292" s="5">
        <v>247165</v>
      </c>
      <c r="L292" s="5">
        <v>164882</v>
      </c>
      <c r="M292" s="5">
        <v>14689</v>
      </c>
      <c r="N292" s="5">
        <v>0</v>
      </c>
      <c r="O292" s="5">
        <v>41005</v>
      </c>
      <c r="P292" s="5">
        <v>26589</v>
      </c>
      <c r="Q292">
        <v>3</v>
      </c>
      <c r="R292" t="s">
        <v>41</v>
      </c>
    </row>
    <row r="293" spans="1:18">
      <c r="A293" t="s">
        <v>346</v>
      </c>
      <c r="B293" s="4">
        <v>46196</v>
      </c>
      <c r="C293" t="s">
        <v>36</v>
      </c>
      <c r="D293" t="s">
        <v>231</v>
      </c>
      <c r="E293" t="s">
        <v>239</v>
      </c>
      <c r="F293" t="s">
        <v>46</v>
      </c>
      <c r="G293" t="s">
        <v>43</v>
      </c>
      <c r="H293">
        <v>5</v>
      </c>
      <c r="I293" s="5">
        <v>214799</v>
      </c>
      <c r="J293" s="5">
        <v>28783</v>
      </c>
      <c r="K293" s="5">
        <v>186016</v>
      </c>
      <c r="L293" s="5">
        <v>114391</v>
      </c>
      <c r="M293" s="5">
        <v>13449</v>
      </c>
      <c r="N293" s="5">
        <v>0</v>
      </c>
      <c r="O293" s="5">
        <v>39896</v>
      </c>
      <c r="P293" s="5">
        <v>18280</v>
      </c>
      <c r="Q293">
        <v>3</v>
      </c>
      <c r="R293" t="s">
        <v>41</v>
      </c>
    </row>
    <row r="294" spans="1:18">
      <c r="A294" t="s">
        <v>347</v>
      </c>
      <c r="B294" s="4">
        <v>46119</v>
      </c>
      <c r="C294" t="s">
        <v>36</v>
      </c>
      <c r="D294" t="s">
        <v>231</v>
      </c>
      <c r="E294" t="s">
        <v>239</v>
      </c>
      <c r="F294" t="s">
        <v>46</v>
      </c>
      <c r="G294" t="s">
        <v>43</v>
      </c>
      <c r="H294">
        <v>4</v>
      </c>
      <c r="I294" s="5">
        <v>384084</v>
      </c>
      <c r="J294" s="5">
        <v>29339</v>
      </c>
      <c r="K294" s="5">
        <v>354745</v>
      </c>
      <c r="L294" s="5">
        <v>221079</v>
      </c>
      <c r="M294" s="5">
        <v>20781</v>
      </c>
      <c r="N294" s="5">
        <v>0</v>
      </c>
      <c r="O294" s="5">
        <v>81206</v>
      </c>
      <c r="P294" s="5">
        <v>31679</v>
      </c>
      <c r="Q294">
        <v>2</v>
      </c>
      <c r="R294" t="s">
        <v>41</v>
      </c>
    </row>
    <row r="295" spans="1:18">
      <c r="A295" t="s">
        <v>348</v>
      </c>
      <c r="B295" s="4">
        <v>46114</v>
      </c>
      <c r="C295" t="s">
        <v>36</v>
      </c>
      <c r="D295" t="s">
        <v>231</v>
      </c>
      <c r="E295" t="s">
        <v>234</v>
      </c>
      <c r="F295" t="s">
        <v>46</v>
      </c>
      <c r="G295" t="s">
        <v>40</v>
      </c>
      <c r="H295">
        <v>6</v>
      </c>
      <c r="I295" s="5">
        <v>142566</v>
      </c>
      <c r="J295" s="5">
        <v>18399</v>
      </c>
      <c r="K295" s="5">
        <v>124167</v>
      </c>
      <c r="L295" s="5">
        <v>73821</v>
      </c>
      <c r="M295" s="5">
        <v>6776</v>
      </c>
      <c r="N295" s="5">
        <v>0</v>
      </c>
      <c r="O295" s="5">
        <v>18737</v>
      </c>
      <c r="P295" s="5">
        <v>24833</v>
      </c>
      <c r="Q295">
        <v>4</v>
      </c>
      <c r="R295" t="s">
        <v>41</v>
      </c>
    </row>
    <row r="296" spans="1:18">
      <c r="A296" t="s">
        <v>349</v>
      </c>
      <c r="B296" s="4">
        <v>46178</v>
      </c>
      <c r="C296" t="s">
        <v>36</v>
      </c>
      <c r="D296" t="s">
        <v>231</v>
      </c>
      <c r="E296" t="s">
        <v>239</v>
      </c>
      <c r="F296" t="s">
        <v>39</v>
      </c>
      <c r="G296" t="s">
        <v>40</v>
      </c>
      <c r="H296">
        <v>1</v>
      </c>
      <c r="I296" s="5">
        <v>335960</v>
      </c>
      <c r="J296" s="5">
        <v>20669</v>
      </c>
      <c r="K296" s="5">
        <v>315291</v>
      </c>
      <c r="L296" s="5">
        <v>211145</v>
      </c>
      <c r="M296" s="5">
        <v>21809</v>
      </c>
      <c r="N296" s="5">
        <v>0</v>
      </c>
      <c r="O296" s="5">
        <v>51201</v>
      </c>
      <c r="P296" s="5">
        <v>31136</v>
      </c>
      <c r="Q296">
        <v>3</v>
      </c>
      <c r="R296" t="s">
        <v>41</v>
      </c>
    </row>
    <row r="297" spans="1:18">
      <c r="A297" t="s">
        <v>350</v>
      </c>
      <c r="B297" s="4">
        <v>46158</v>
      </c>
      <c r="C297" t="s">
        <v>36</v>
      </c>
      <c r="D297" t="s">
        <v>231</v>
      </c>
      <c r="E297" t="s">
        <v>243</v>
      </c>
      <c r="F297" t="s">
        <v>39</v>
      </c>
      <c r="G297" t="s">
        <v>40</v>
      </c>
      <c r="H297">
        <v>1</v>
      </c>
      <c r="I297" s="5">
        <v>300532</v>
      </c>
      <c r="J297" s="5">
        <v>18645</v>
      </c>
      <c r="K297" s="5">
        <v>281887</v>
      </c>
      <c r="L297" s="5">
        <v>185028</v>
      </c>
      <c r="M297" s="5">
        <v>23007</v>
      </c>
      <c r="N297" s="5">
        <v>0</v>
      </c>
      <c r="O297" s="5">
        <v>38664</v>
      </c>
      <c r="P297" s="5">
        <v>35188</v>
      </c>
      <c r="Q297">
        <v>3</v>
      </c>
      <c r="R297" t="s">
        <v>41</v>
      </c>
    </row>
    <row r="298" spans="1:18">
      <c r="A298" t="s">
        <v>351</v>
      </c>
      <c r="B298" s="4">
        <v>46114</v>
      </c>
      <c r="C298" t="s">
        <v>36</v>
      </c>
      <c r="D298" t="s">
        <v>231</v>
      </c>
      <c r="E298" t="s">
        <v>239</v>
      </c>
      <c r="F298" t="s">
        <v>61</v>
      </c>
      <c r="G298" t="s">
        <v>43</v>
      </c>
      <c r="H298">
        <v>2</v>
      </c>
      <c r="I298" s="5">
        <v>325533</v>
      </c>
      <c r="J298" s="5">
        <v>11920</v>
      </c>
      <c r="K298" s="5">
        <v>313613</v>
      </c>
      <c r="L298" s="5">
        <v>209481</v>
      </c>
      <c r="M298" s="5">
        <v>22369</v>
      </c>
      <c r="N298" s="5">
        <v>0</v>
      </c>
      <c r="O298" s="5">
        <v>50494</v>
      </c>
      <c r="P298" s="5">
        <v>31269</v>
      </c>
      <c r="Q298">
        <v>2</v>
      </c>
      <c r="R298" t="s">
        <v>41</v>
      </c>
    </row>
    <row r="299" spans="1:18">
      <c r="A299" t="s">
        <v>352</v>
      </c>
      <c r="B299" s="4">
        <v>46195</v>
      </c>
      <c r="C299" t="s">
        <v>36</v>
      </c>
      <c r="D299" t="s">
        <v>231</v>
      </c>
      <c r="E299" t="s">
        <v>232</v>
      </c>
      <c r="F299" t="s">
        <v>46</v>
      </c>
      <c r="G299" t="s">
        <v>43</v>
      </c>
      <c r="H299">
        <v>3</v>
      </c>
      <c r="I299" s="5">
        <v>406748</v>
      </c>
      <c r="J299" s="5">
        <v>68260</v>
      </c>
      <c r="K299" s="5">
        <v>338488</v>
      </c>
      <c r="L299" s="5">
        <v>202744</v>
      </c>
      <c r="M299" s="5">
        <v>26257</v>
      </c>
      <c r="N299" s="5">
        <v>0</v>
      </c>
      <c r="O299" s="5">
        <v>66220</v>
      </c>
      <c r="P299" s="5">
        <v>43267</v>
      </c>
      <c r="Q299">
        <v>2</v>
      </c>
      <c r="R299" t="s">
        <v>41</v>
      </c>
    </row>
    <row r="300" spans="1:18">
      <c r="A300" t="s">
        <v>353</v>
      </c>
      <c r="B300" s="4">
        <v>46199</v>
      </c>
      <c r="C300" t="s">
        <v>36</v>
      </c>
      <c r="D300" t="s">
        <v>231</v>
      </c>
      <c r="E300" t="s">
        <v>234</v>
      </c>
      <c r="F300" t="s">
        <v>46</v>
      </c>
      <c r="G300" t="s">
        <v>40</v>
      </c>
      <c r="H300">
        <v>1</v>
      </c>
      <c r="I300" s="5">
        <v>160929</v>
      </c>
      <c r="J300" s="5">
        <v>15184</v>
      </c>
      <c r="K300" s="5">
        <v>145745</v>
      </c>
      <c r="L300" s="5">
        <v>81476</v>
      </c>
      <c r="M300" s="5">
        <v>7211</v>
      </c>
      <c r="N300" s="5">
        <v>0</v>
      </c>
      <c r="O300" s="5">
        <v>28423</v>
      </c>
      <c r="P300" s="5">
        <v>28635</v>
      </c>
      <c r="Q300">
        <v>3</v>
      </c>
      <c r="R300" t="s">
        <v>41</v>
      </c>
    </row>
    <row r="301" spans="1:18">
      <c r="A301" t="s">
        <v>354</v>
      </c>
      <c r="B301" s="4">
        <v>46155</v>
      </c>
      <c r="C301" t="s">
        <v>36</v>
      </c>
      <c r="D301" t="s">
        <v>231</v>
      </c>
      <c r="E301" t="s">
        <v>234</v>
      </c>
      <c r="F301" t="s">
        <v>46</v>
      </c>
      <c r="G301" t="s">
        <v>43</v>
      </c>
      <c r="H301">
        <v>6</v>
      </c>
      <c r="I301" s="5">
        <v>169182</v>
      </c>
      <c r="J301" s="5">
        <v>26006</v>
      </c>
      <c r="K301" s="5">
        <v>143176</v>
      </c>
      <c r="L301" s="5">
        <v>77987</v>
      </c>
      <c r="M301" s="5">
        <v>7506</v>
      </c>
      <c r="N301" s="5">
        <v>0</v>
      </c>
      <c r="O301" s="5">
        <v>29048</v>
      </c>
      <c r="P301" s="5">
        <v>28635</v>
      </c>
      <c r="Q301">
        <v>1</v>
      </c>
      <c r="R301" t="s">
        <v>41</v>
      </c>
    </row>
    <row r="302" spans="1:18">
      <c r="A302" t="s">
        <v>355</v>
      </c>
      <c r="B302" s="4">
        <v>46147</v>
      </c>
      <c r="C302" t="s">
        <v>36</v>
      </c>
      <c r="D302" t="s">
        <v>231</v>
      </c>
      <c r="E302" t="s">
        <v>243</v>
      </c>
      <c r="F302" t="s">
        <v>46</v>
      </c>
      <c r="G302" t="s">
        <v>43</v>
      </c>
      <c r="H302">
        <v>6</v>
      </c>
      <c r="I302" s="5">
        <v>186284</v>
      </c>
      <c r="J302" s="5">
        <v>30483</v>
      </c>
      <c r="K302" s="5">
        <v>155801</v>
      </c>
      <c r="L302" s="5">
        <v>89046</v>
      </c>
      <c r="M302" s="5">
        <v>9721</v>
      </c>
      <c r="N302" s="5">
        <v>0</v>
      </c>
      <c r="O302" s="5">
        <v>29089</v>
      </c>
      <c r="P302" s="5">
        <v>27945</v>
      </c>
      <c r="Q302">
        <v>5</v>
      </c>
      <c r="R302" t="s">
        <v>41</v>
      </c>
    </row>
    <row r="303" spans="1:18">
      <c r="A303" t="s">
        <v>356</v>
      </c>
      <c r="B303" s="4">
        <v>46133</v>
      </c>
      <c r="C303" t="s">
        <v>36</v>
      </c>
      <c r="D303" t="s">
        <v>231</v>
      </c>
      <c r="E303" t="s">
        <v>239</v>
      </c>
      <c r="F303" t="s">
        <v>46</v>
      </c>
      <c r="G303" t="s">
        <v>43</v>
      </c>
      <c r="H303">
        <v>5</v>
      </c>
      <c r="I303" s="5">
        <v>190075</v>
      </c>
      <c r="J303" s="5">
        <v>23941</v>
      </c>
      <c r="K303" s="5">
        <v>166134</v>
      </c>
      <c r="L303" s="5">
        <v>98647</v>
      </c>
      <c r="M303" s="5">
        <v>12696</v>
      </c>
      <c r="N303" s="5">
        <v>0</v>
      </c>
      <c r="O303" s="5">
        <v>31227</v>
      </c>
      <c r="P303" s="5">
        <v>23564</v>
      </c>
      <c r="Q303">
        <v>3</v>
      </c>
      <c r="R303" t="s">
        <v>41</v>
      </c>
    </row>
    <row r="304" spans="1:18">
      <c r="A304" t="s">
        <v>357</v>
      </c>
      <c r="B304" s="4">
        <v>46129</v>
      </c>
      <c r="C304" t="s">
        <v>36</v>
      </c>
      <c r="D304" t="s">
        <v>231</v>
      </c>
      <c r="E304" t="s">
        <v>243</v>
      </c>
      <c r="F304" t="s">
        <v>46</v>
      </c>
      <c r="G304" t="s">
        <v>40</v>
      </c>
      <c r="H304">
        <v>4</v>
      </c>
      <c r="I304" s="5">
        <v>273950</v>
      </c>
      <c r="J304" s="5">
        <v>27497</v>
      </c>
      <c r="K304" s="5">
        <v>246453</v>
      </c>
      <c r="L304" s="5">
        <v>150644</v>
      </c>
      <c r="M304" s="5">
        <v>15681</v>
      </c>
      <c r="N304" s="5">
        <v>12103</v>
      </c>
      <c r="O304" s="5">
        <v>32506</v>
      </c>
      <c r="P304" s="5">
        <v>35519</v>
      </c>
      <c r="Q304">
        <v>2</v>
      </c>
      <c r="R304" t="s">
        <v>53</v>
      </c>
    </row>
    <row r="305" spans="1:18">
      <c r="A305" t="s">
        <v>358</v>
      </c>
      <c r="B305" s="4">
        <v>46180</v>
      </c>
      <c r="C305" t="s">
        <v>36</v>
      </c>
      <c r="D305" t="s">
        <v>231</v>
      </c>
      <c r="E305" t="s">
        <v>232</v>
      </c>
      <c r="F305" t="s">
        <v>39</v>
      </c>
      <c r="G305" t="s">
        <v>40</v>
      </c>
      <c r="H305">
        <v>4</v>
      </c>
      <c r="I305" s="5">
        <v>350175</v>
      </c>
      <c r="J305" s="5">
        <v>34390</v>
      </c>
      <c r="K305" s="5">
        <v>315785</v>
      </c>
      <c r="L305" s="5">
        <v>204326</v>
      </c>
      <c r="M305" s="5">
        <v>16727</v>
      </c>
      <c r="N305" s="5">
        <v>0</v>
      </c>
      <c r="O305" s="5">
        <v>55457</v>
      </c>
      <c r="P305" s="5">
        <v>39275</v>
      </c>
      <c r="Q305">
        <v>3</v>
      </c>
      <c r="R305" t="s">
        <v>41</v>
      </c>
    </row>
    <row r="306" spans="1:18">
      <c r="A306" t="s">
        <v>359</v>
      </c>
      <c r="B306" s="4">
        <v>46184</v>
      </c>
      <c r="C306" t="s">
        <v>36</v>
      </c>
      <c r="D306" t="s">
        <v>231</v>
      </c>
      <c r="E306" t="s">
        <v>239</v>
      </c>
      <c r="F306" t="s">
        <v>61</v>
      </c>
      <c r="G306" t="s">
        <v>40</v>
      </c>
      <c r="H306">
        <v>5</v>
      </c>
      <c r="I306" s="5">
        <v>203815</v>
      </c>
      <c r="J306" s="5">
        <v>19579</v>
      </c>
      <c r="K306" s="5">
        <v>184236</v>
      </c>
      <c r="L306" s="5">
        <v>104810</v>
      </c>
      <c r="M306" s="5">
        <v>12830</v>
      </c>
      <c r="N306" s="5">
        <v>0</v>
      </c>
      <c r="O306" s="5">
        <v>29749</v>
      </c>
      <c r="P306" s="5">
        <v>36847</v>
      </c>
      <c r="Q306">
        <v>2</v>
      </c>
      <c r="R306" t="s">
        <v>41</v>
      </c>
    </row>
    <row r="307" spans="1:18">
      <c r="A307" t="s">
        <v>360</v>
      </c>
      <c r="B307" s="4">
        <v>46143</v>
      </c>
      <c r="C307" t="s">
        <v>36</v>
      </c>
      <c r="D307" t="s">
        <v>231</v>
      </c>
      <c r="E307" t="s">
        <v>234</v>
      </c>
      <c r="F307" t="s">
        <v>39</v>
      </c>
      <c r="G307" t="s">
        <v>40</v>
      </c>
      <c r="H307">
        <v>5</v>
      </c>
      <c r="I307" s="5">
        <v>253289</v>
      </c>
      <c r="J307" s="5">
        <v>37943</v>
      </c>
      <c r="K307" s="5">
        <v>215346</v>
      </c>
      <c r="L307" s="5">
        <v>142758</v>
      </c>
      <c r="M307" s="5">
        <v>11860</v>
      </c>
      <c r="N307" s="5">
        <v>0</v>
      </c>
      <c r="O307" s="5">
        <v>33656</v>
      </c>
      <c r="P307" s="5">
        <v>27072</v>
      </c>
      <c r="Q307">
        <v>1</v>
      </c>
      <c r="R307" t="s">
        <v>41</v>
      </c>
    </row>
    <row r="308" spans="1:18">
      <c r="A308" t="s">
        <v>361</v>
      </c>
      <c r="B308" s="4">
        <v>46186</v>
      </c>
      <c r="C308" t="s">
        <v>36</v>
      </c>
      <c r="D308" t="s">
        <v>231</v>
      </c>
      <c r="E308" t="s">
        <v>243</v>
      </c>
      <c r="F308" t="s">
        <v>61</v>
      </c>
      <c r="G308" t="s">
        <v>43</v>
      </c>
      <c r="H308">
        <v>4</v>
      </c>
      <c r="I308" s="5">
        <v>237821</v>
      </c>
      <c r="J308" s="5">
        <v>28200</v>
      </c>
      <c r="K308" s="5">
        <v>209621</v>
      </c>
      <c r="L308" s="5">
        <v>128835</v>
      </c>
      <c r="M308" s="5">
        <v>12482</v>
      </c>
      <c r="N308" s="5">
        <v>0</v>
      </c>
      <c r="O308" s="5">
        <v>38547</v>
      </c>
      <c r="P308" s="5">
        <v>29757</v>
      </c>
      <c r="Q308">
        <v>5</v>
      </c>
      <c r="R308" t="s">
        <v>41</v>
      </c>
    </row>
    <row r="309" spans="1:18">
      <c r="A309" t="s">
        <v>362</v>
      </c>
      <c r="B309" s="4">
        <v>46117</v>
      </c>
      <c r="C309" t="s">
        <v>36</v>
      </c>
      <c r="D309" t="s">
        <v>231</v>
      </c>
      <c r="E309" t="s">
        <v>239</v>
      </c>
      <c r="F309" t="s">
        <v>61</v>
      </c>
      <c r="G309" t="s">
        <v>43</v>
      </c>
      <c r="H309">
        <v>5</v>
      </c>
      <c r="I309" s="5">
        <v>234000</v>
      </c>
      <c r="J309" s="5">
        <v>16462</v>
      </c>
      <c r="K309" s="5">
        <v>217538</v>
      </c>
      <c r="L309" s="5">
        <v>137304</v>
      </c>
      <c r="M309" s="5">
        <v>11158</v>
      </c>
      <c r="N309" s="5">
        <v>0</v>
      </c>
      <c r="O309" s="5">
        <v>35328</v>
      </c>
      <c r="P309" s="5">
        <v>33748</v>
      </c>
      <c r="Q309">
        <v>7</v>
      </c>
      <c r="R309" t="s">
        <v>41</v>
      </c>
    </row>
    <row r="310" spans="1:18">
      <c r="A310" t="s">
        <v>363</v>
      </c>
      <c r="B310" s="4">
        <v>46141</v>
      </c>
      <c r="C310" t="s">
        <v>36</v>
      </c>
      <c r="D310" t="s">
        <v>231</v>
      </c>
      <c r="E310" t="s">
        <v>243</v>
      </c>
      <c r="F310" t="s">
        <v>39</v>
      </c>
      <c r="G310" t="s">
        <v>43</v>
      </c>
      <c r="H310">
        <v>6</v>
      </c>
      <c r="I310" s="5">
        <v>272851</v>
      </c>
      <c r="J310" s="5">
        <v>17143</v>
      </c>
      <c r="K310" s="5">
        <v>255708</v>
      </c>
      <c r="L310" s="5">
        <v>168448</v>
      </c>
      <c r="M310" s="5">
        <v>17201</v>
      </c>
      <c r="N310" s="5">
        <v>0</v>
      </c>
      <c r="O310" s="5">
        <v>47964</v>
      </c>
      <c r="P310" s="5">
        <v>22095</v>
      </c>
      <c r="Q310">
        <v>2</v>
      </c>
      <c r="R310" t="s">
        <v>41</v>
      </c>
    </row>
    <row r="311" spans="1:18">
      <c r="A311" t="s">
        <v>364</v>
      </c>
      <c r="B311" s="4">
        <v>46156</v>
      </c>
      <c r="C311" t="s">
        <v>36</v>
      </c>
      <c r="D311" t="s">
        <v>231</v>
      </c>
      <c r="E311" t="s">
        <v>234</v>
      </c>
      <c r="F311" t="s">
        <v>39</v>
      </c>
      <c r="G311" t="s">
        <v>43</v>
      </c>
      <c r="H311">
        <v>6</v>
      </c>
      <c r="I311" s="5">
        <v>388674</v>
      </c>
      <c r="J311" s="5">
        <v>30867</v>
      </c>
      <c r="K311" s="5">
        <v>357807</v>
      </c>
      <c r="L311" s="5">
        <v>223165</v>
      </c>
      <c r="M311" s="5">
        <v>29217</v>
      </c>
      <c r="N311" s="5">
        <v>0</v>
      </c>
      <c r="O311" s="5">
        <v>70923</v>
      </c>
      <c r="P311" s="5">
        <v>34502</v>
      </c>
      <c r="Q311">
        <v>1</v>
      </c>
      <c r="R311" t="s">
        <v>41</v>
      </c>
    </row>
    <row r="312" spans="1:18">
      <c r="A312" t="s">
        <v>365</v>
      </c>
      <c r="B312" s="4">
        <v>46165</v>
      </c>
      <c r="C312" t="s">
        <v>36</v>
      </c>
      <c r="D312" t="s">
        <v>231</v>
      </c>
      <c r="E312" t="s">
        <v>239</v>
      </c>
      <c r="F312" t="s">
        <v>39</v>
      </c>
      <c r="G312" t="s">
        <v>40</v>
      </c>
      <c r="H312">
        <v>2</v>
      </c>
      <c r="I312" s="5">
        <v>209613</v>
      </c>
      <c r="J312" s="5">
        <v>35334</v>
      </c>
      <c r="K312" s="5">
        <v>174279</v>
      </c>
      <c r="L312" s="5">
        <v>100987</v>
      </c>
      <c r="M312" s="5">
        <v>12948</v>
      </c>
      <c r="N312" s="5">
        <v>0</v>
      </c>
      <c r="O312" s="5">
        <v>25489</v>
      </c>
      <c r="P312" s="5">
        <v>34855</v>
      </c>
      <c r="Q312">
        <v>5</v>
      </c>
      <c r="R312" t="s">
        <v>41</v>
      </c>
    </row>
    <row r="313" spans="1:18">
      <c r="A313" t="s">
        <v>366</v>
      </c>
      <c r="B313" s="4">
        <v>46156</v>
      </c>
      <c r="C313" t="s">
        <v>36</v>
      </c>
      <c r="D313" t="s">
        <v>231</v>
      </c>
      <c r="E313" t="s">
        <v>239</v>
      </c>
      <c r="F313" t="s">
        <v>46</v>
      </c>
      <c r="G313" t="s">
        <v>40</v>
      </c>
      <c r="H313">
        <v>6</v>
      </c>
      <c r="I313" s="5">
        <v>338308</v>
      </c>
      <c r="J313" s="5">
        <v>54018</v>
      </c>
      <c r="K313" s="5">
        <v>284290</v>
      </c>
      <c r="L313" s="5">
        <v>171986</v>
      </c>
      <c r="M313" s="5">
        <v>22864</v>
      </c>
      <c r="N313" s="5">
        <v>0</v>
      </c>
      <c r="O313" s="5">
        <v>51055</v>
      </c>
      <c r="P313" s="5">
        <v>38385</v>
      </c>
      <c r="Q313">
        <v>5</v>
      </c>
      <c r="R313" t="s">
        <v>41</v>
      </c>
    </row>
    <row r="314" spans="1:18">
      <c r="A314" t="s">
        <v>367</v>
      </c>
      <c r="B314" s="4">
        <v>46177</v>
      </c>
      <c r="C314" t="s">
        <v>36</v>
      </c>
      <c r="D314" t="s">
        <v>231</v>
      </c>
      <c r="E314" t="s">
        <v>232</v>
      </c>
      <c r="F314" t="s">
        <v>46</v>
      </c>
      <c r="G314" t="s">
        <v>40</v>
      </c>
      <c r="H314">
        <v>5</v>
      </c>
      <c r="I314" s="5">
        <v>373862</v>
      </c>
      <c r="J314" s="5">
        <v>50237</v>
      </c>
      <c r="K314" s="5">
        <v>323625</v>
      </c>
      <c r="L314" s="5">
        <v>229745</v>
      </c>
      <c r="M314" s="5">
        <v>23915</v>
      </c>
      <c r="N314" s="5">
        <v>0</v>
      </c>
      <c r="O314" s="5">
        <v>52874</v>
      </c>
      <c r="P314" s="5">
        <v>17091</v>
      </c>
      <c r="Q314">
        <v>2</v>
      </c>
      <c r="R314" t="s">
        <v>41</v>
      </c>
    </row>
    <row r="315" spans="1:18">
      <c r="A315" t="s">
        <v>368</v>
      </c>
      <c r="B315" s="4">
        <v>46135</v>
      </c>
      <c r="C315" t="s">
        <v>36</v>
      </c>
      <c r="D315" t="s">
        <v>231</v>
      </c>
      <c r="E315" t="s">
        <v>232</v>
      </c>
      <c r="F315" t="s">
        <v>51</v>
      </c>
      <c r="G315" t="s">
        <v>40</v>
      </c>
      <c r="H315">
        <v>4</v>
      </c>
      <c r="I315" s="5">
        <v>309912</v>
      </c>
      <c r="J315" s="5">
        <v>32899</v>
      </c>
      <c r="K315" s="5">
        <v>277013</v>
      </c>
      <c r="L315" s="5">
        <v>167245</v>
      </c>
      <c r="M315" s="5">
        <v>19401</v>
      </c>
      <c r="N315" s="5">
        <v>0</v>
      </c>
      <c r="O315" s="5">
        <v>45978</v>
      </c>
      <c r="P315" s="5">
        <v>44389</v>
      </c>
      <c r="Q315">
        <v>1</v>
      </c>
      <c r="R315" t="s">
        <v>41</v>
      </c>
    </row>
    <row r="316" spans="1:18">
      <c r="A316" t="s">
        <v>369</v>
      </c>
      <c r="B316" s="4">
        <v>46190</v>
      </c>
      <c r="C316" t="s">
        <v>36</v>
      </c>
      <c r="D316" t="s">
        <v>231</v>
      </c>
      <c r="E316" t="s">
        <v>232</v>
      </c>
      <c r="F316" t="s">
        <v>39</v>
      </c>
      <c r="G316" t="s">
        <v>43</v>
      </c>
      <c r="H316">
        <v>3</v>
      </c>
      <c r="I316" s="5">
        <v>355927</v>
      </c>
      <c r="J316" s="5">
        <v>29817</v>
      </c>
      <c r="K316" s="5">
        <v>326110</v>
      </c>
      <c r="L316" s="5">
        <v>210528</v>
      </c>
      <c r="M316" s="5">
        <v>28286</v>
      </c>
      <c r="N316" s="5">
        <v>0</v>
      </c>
      <c r="O316" s="5">
        <v>58137</v>
      </c>
      <c r="P316" s="5">
        <v>29159</v>
      </c>
      <c r="Q316">
        <v>2</v>
      </c>
      <c r="R316" t="s">
        <v>41</v>
      </c>
    </row>
    <row r="317" spans="1:18">
      <c r="A317" t="s">
        <v>370</v>
      </c>
      <c r="B317" s="4">
        <v>46178</v>
      </c>
      <c r="C317" t="s">
        <v>36</v>
      </c>
      <c r="D317" t="s">
        <v>231</v>
      </c>
      <c r="E317" t="s">
        <v>234</v>
      </c>
      <c r="F317" t="s">
        <v>49</v>
      </c>
      <c r="G317" t="s">
        <v>43</v>
      </c>
      <c r="H317">
        <v>6</v>
      </c>
      <c r="I317" s="5">
        <v>354870</v>
      </c>
      <c r="J317" s="5">
        <v>52442</v>
      </c>
      <c r="K317" s="5">
        <v>302428</v>
      </c>
      <c r="L317" s="5">
        <v>190718</v>
      </c>
      <c r="M317" s="5">
        <v>21086</v>
      </c>
      <c r="N317" s="5">
        <v>0</v>
      </c>
      <c r="O317" s="5">
        <v>63800</v>
      </c>
      <c r="P317" s="5">
        <v>26824</v>
      </c>
      <c r="Q317">
        <v>3</v>
      </c>
      <c r="R317" t="s">
        <v>41</v>
      </c>
    </row>
    <row r="318" spans="1:18">
      <c r="A318" t="s">
        <v>371</v>
      </c>
      <c r="B318" s="4">
        <v>46200</v>
      </c>
      <c r="C318" t="s">
        <v>36</v>
      </c>
      <c r="D318" t="s">
        <v>231</v>
      </c>
      <c r="E318" t="s">
        <v>234</v>
      </c>
      <c r="F318" t="s">
        <v>51</v>
      </c>
      <c r="G318" t="s">
        <v>40</v>
      </c>
      <c r="H318">
        <v>5</v>
      </c>
      <c r="I318" s="5">
        <v>159454</v>
      </c>
      <c r="J318" s="5">
        <v>16954</v>
      </c>
      <c r="K318" s="5">
        <v>142500</v>
      </c>
      <c r="L318" s="5">
        <v>79749</v>
      </c>
      <c r="M318" s="5">
        <v>7796</v>
      </c>
      <c r="N318" s="5">
        <v>0</v>
      </c>
      <c r="O318" s="5">
        <v>26455</v>
      </c>
      <c r="P318" s="5">
        <v>28500</v>
      </c>
      <c r="Q318">
        <v>1</v>
      </c>
      <c r="R318" t="s">
        <v>41</v>
      </c>
    </row>
    <row r="319" spans="1:18">
      <c r="A319" t="s">
        <v>372</v>
      </c>
      <c r="B319" s="4">
        <v>46187</v>
      </c>
      <c r="C319" t="s">
        <v>36</v>
      </c>
      <c r="D319" t="s">
        <v>231</v>
      </c>
      <c r="E319" t="s">
        <v>243</v>
      </c>
      <c r="F319" t="s">
        <v>49</v>
      </c>
      <c r="G319" t="s">
        <v>43</v>
      </c>
      <c r="H319">
        <v>4</v>
      </c>
      <c r="I319" s="5">
        <v>225053</v>
      </c>
      <c r="J319" s="5">
        <v>13941</v>
      </c>
      <c r="K319" s="5">
        <v>211112</v>
      </c>
      <c r="L319" s="5">
        <v>125642</v>
      </c>
      <c r="M319" s="5">
        <v>15272</v>
      </c>
      <c r="N319" s="5">
        <v>0</v>
      </c>
      <c r="O319" s="5">
        <v>27976</v>
      </c>
      <c r="P319" s="5">
        <v>42222</v>
      </c>
      <c r="Q319">
        <v>3</v>
      </c>
      <c r="R319" t="s">
        <v>41</v>
      </c>
    </row>
    <row r="320" spans="1:18">
      <c r="A320" t="s">
        <v>373</v>
      </c>
      <c r="B320" s="4">
        <v>46138</v>
      </c>
      <c r="C320" t="s">
        <v>36</v>
      </c>
      <c r="D320" t="s">
        <v>231</v>
      </c>
      <c r="E320" t="s">
        <v>234</v>
      </c>
      <c r="F320" t="s">
        <v>51</v>
      </c>
      <c r="G320" t="s">
        <v>43</v>
      </c>
      <c r="H320">
        <v>6</v>
      </c>
      <c r="I320" s="5">
        <v>288945</v>
      </c>
      <c r="J320" s="5">
        <v>36190</v>
      </c>
      <c r="K320" s="5">
        <v>252755</v>
      </c>
      <c r="L320" s="5">
        <v>148237</v>
      </c>
      <c r="M320" s="5">
        <v>14299</v>
      </c>
      <c r="N320" s="5">
        <v>0</v>
      </c>
      <c r="O320" s="5">
        <v>54733</v>
      </c>
      <c r="P320" s="5">
        <v>35486</v>
      </c>
      <c r="Q320">
        <v>2</v>
      </c>
      <c r="R320" t="s">
        <v>41</v>
      </c>
    </row>
    <row r="321" spans="1:18">
      <c r="A321" t="s">
        <v>374</v>
      </c>
      <c r="B321" s="4">
        <v>46117</v>
      </c>
      <c r="C321" t="s">
        <v>36</v>
      </c>
      <c r="D321" t="s">
        <v>231</v>
      </c>
      <c r="E321" t="s">
        <v>234</v>
      </c>
      <c r="F321" t="s">
        <v>46</v>
      </c>
      <c r="G321" t="s">
        <v>40</v>
      </c>
      <c r="H321">
        <v>5</v>
      </c>
      <c r="I321" s="5">
        <v>149987</v>
      </c>
      <c r="J321" s="5">
        <v>16463</v>
      </c>
      <c r="K321" s="5">
        <v>133524</v>
      </c>
      <c r="L321" s="5">
        <v>79276</v>
      </c>
      <c r="M321" s="5">
        <v>7670</v>
      </c>
      <c r="N321" s="5">
        <v>0</v>
      </c>
      <c r="O321" s="5">
        <v>19874</v>
      </c>
      <c r="P321" s="5">
        <v>26704</v>
      </c>
      <c r="Q321">
        <v>6</v>
      </c>
      <c r="R321" t="s">
        <v>41</v>
      </c>
    </row>
    <row r="322" spans="1:18">
      <c r="A322" t="s">
        <v>375</v>
      </c>
      <c r="B322" s="4">
        <v>46143</v>
      </c>
      <c r="C322" t="s">
        <v>36</v>
      </c>
      <c r="D322" t="s">
        <v>231</v>
      </c>
      <c r="E322" t="s">
        <v>234</v>
      </c>
      <c r="F322" t="s">
        <v>61</v>
      </c>
      <c r="G322" t="s">
        <v>43</v>
      </c>
      <c r="H322">
        <v>4</v>
      </c>
      <c r="I322" s="5">
        <v>143699</v>
      </c>
      <c r="J322" s="5">
        <v>21379</v>
      </c>
      <c r="K322" s="5">
        <v>122320</v>
      </c>
      <c r="L322" s="5">
        <v>74158</v>
      </c>
      <c r="M322" s="5">
        <v>8777</v>
      </c>
      <c r="N322" s="5">
        <v>0</v>
      </c>
      <c r="O322" s="5">
        <v>14921</v>
      </c>
      <c r="P322" s="5">
        <v>24464</v>
      </c>
      <c r="Q322">
        <v>2</v>
      </c>
      <c r="R322" t="s">
        <v>41</v>
      </c>
    </row>
    <row r="323" spans="1:18">
      <c r="A323" t="s">
        <v>376</v>
      </c>
      <c r="B323" s="4">
        <v>46138</v>
      </c>
      <c r="C323" t="s">
        <v>36</v>
      </c>
      <c r="D323" t="s">
        <v>231</v>
      </c>
      <c r="E323" t="s">
        <v>243</v>
      </c>
      <c r="F323" t="s">
        <v>51</v>
      </c>
      <c r="G323" t="s">
        <v>43</v>
      </c>
      <c r="H323">
        <v>5</v>
      </c>
      <c r="I323" s="5">
        <v>170875</v>
      </c>
      <c r="J323" s="5">
        <v>9675</v>
      </c>
      <c r="K323" s="5">
        <v>161200</v>
      </c>
      <c r="L323" s="5">
        <v>100573</v>
      </c>
      <c r="M323" s="5">
        <v>13375</v>
      </c>
      <c r="N323" s="5">
        <v>8101</v>
      </c>
      <c r="O323" s="5">
        <v>13556</v>
      </c>
      <c r="P323" s="5">
        <v>25595</v>
      </c>
      <c r="Q323">
        <v>4</v>
      </c>
      <c r="R323" t="s">
        <v>53</v>
      </c>
    </row>
    <row r="324" spans="1:18">
      <c r="A324" t="s">
        <v>377</v>
      </c>
      <c r="B324" s="4">
        <v>46135</v>
      </c>
      <c r="C324" t="s">
        <v>36</v>
      </c>
      <c r="D324" t="s">
        <v>231</v>
      </c>
      <c r="E324" t="s">
        <v>239</v>
      </c>
      <c r="F324" t="s">
        <v>51</v>
      </c>
      <c r="G324" t="s">
        <v>40</v>
      </c>
      <c r="H324">
        <v>6</v>
      </c>
      <c r="I324" s="5">
        <v>256599</v>
      </c>
      <c r="J324" s="5">
        <v>16532</v>
      </c>
      <c r="K324" s="5">
        <v>240067</v>
      </c>
      <c r="L324" s="5">
        <v>148855</v>
      </c>
      <c r="M324" s="5">
        <v>19567</v>
      </c>
      <c r="N324" s="5">
        <v>0</v>
      </c>
      <c r="O324" s="5">
        <v>30091</v>
      </c>
      <c r="P324" s="5">
        <v>41554</v>
      </c>
      <c r="Q324">
        <v>3</v>
      </c>
      <c r="R324" t="s">
        <v>41</v>
      </c>
    </row>
    <row r="325" spans="1:18">
      <c r="A325" t="s">
        <v>378</v>
      </c>
      <c r="B325" s="4">
        <v>46187</v>
      </c>
      <c r="C325" t="s">
        <v>36</v>
      </c>
      <c r="D325" t="s">
        <v>231</v>
      </c>
      <c r="E325" t="s">
        <v>234</v>
      </c>
      <c r="F325" t="s">
        <v>61</v>
      </c>
      <c r="G325" t="s">
        <v>43</v>
      </c>
      <c r="H325">
        <v>4</v>
      </c>
      <c r="I325" s="5">
        <v>242694</v>
      </c>
      <c r="J325" s="5">
        <v>18461</v>
      </c>
      <c r="K325" s="5">
        <v>224233</v>
      </c>
      <c r="L325" s="5">
        <v>138939</v>
      </c>
      <c r="M325" s="5">
        <v>15906</v>
      </c>
      <c r="N325" s="5">
        <v>0</v>
      </c>
      <c r="O325" s="5">
        <v>38512</v>
      </c>
      <c r="P325" s="5">
        <v>30876</v>
      </c>
      <c r="Q325">
        <v>3</v>
      </c>
      <c r="R325" t="s">
        <v>41</v>
      </c>
    </row>
    <row r="326" spans="1:18">
      <c r="A326" t="s">
        <v>379</v>
      </c>
      <c r="B326" s="4">
        <v>46191</v>
      </c>
      <c r="C326" t="s">
        <v>36</v>
      </c>
      <c r="D326" t="s">
        <v>231</v>
      </c>
      <c r="E326" t="s">
        <v>234</v>
      </c>
      <c r="F326" t="s">
        <v>46</v>
      </c>
      <c r="G326" t="s">
        <v>43</v>
      </c>
      <c r="H326">
        <v>1</v>
      </c>
      <c r="I326" s="5">
        <v>344525</v>
      </c>
      <c r="J326" s="5">
        <v>36145</v>
      </c>
      <c r="K326" s="5">
        <v>308380</v>
      </c>
      <c r="L326" s="5">
        <v>190448</v>
      </c>
      <c r="M326" s="5">
        <v>20011</v>
      </c>
      <c r="N326" s="5">
        <v>18471</v>
      </c>
      <c r="O326" s="5">
        <v>45558</v>
      </c>
      <c r="P326" s="5">
        <v>33892</v>
      </c>
      <c r="Q326">
        <v>2</v>
      </c>
      <c r="R326" t="s">
        <v>53</v>
      </c>
    </row>
    <row r="327" spans="1:18">
      <c r="A327" t="s">
        <v>380</v>
      </c>
      <c r="B327" s="4">
        <v>46166</v>
      </c>
      <c r="C327" t="s">
        <v>36</v>
      </c>
      <c r="D327" t="s">
        <v>231</v>
      </c>
      <c r="E327" t="s">
        <v>243</v>
      </c>
      <c r="F327" t="s">
        <v>61</v>
      </c>
      <c r="G327" t="s">
        <v>43</v>
      </c>
      <c r="H327">
        <v>2</v>
      </c>
      <c r="I327" s="5">
        <v>289658</v>
      </c>
      <c r="J327" s="5">
        <v>33744</v>
      </c>
      <c r="K327" s="5">
        <v>255914</v>
      </c>
      <c r="L327" s="5">
        <v>166897</v>
      </c>
      <c r="M327" s="5">
        <v>16063</v>
      </c>
      <c r="N327" s="5">
        <v>11973</v>
      </c>
      <c r="O327" s="5">
        <v>43562</v>
      </c>
      <c r="P327" s="5">
        <v>17419</v>
      </c>
      <c r="Q327">
        <v>2</v>
      </c>
      <c r="R327" t="s">
        <v>53</v>
      </c>
    </row>
    <row r="328" spans="1:18">
      <c r="A328" t="s">
        <v>381</v>
      </c>
      <c r="B328" s="4">
        <v>46192</v>
      </c>
      <c r="C328" t="s">
        <v>36</v>
      </c>
      <c r="D328" t="s">
        <v>231</v>
      </c>
      <c r="E328" t="s">
        <v>243</v>
      </c>
      <c r="F328" t="s">
        <v>49</v>
      </c>
      <c r="G328" t="s">
        <v>40</v>
      </c>
      <c r="H328">
        <v>1</v>
      </c>
      <c r="I328" s="5">
        <v>382862</v>
      </c>
      <c r="J328" s="5">
        <v>56814</v>
      </c>
      <c r="K328" s="5">
        <v>326048</v>
      </c>
      <c r="L328" s="5">
        <v>204607</v>
      </c>
      <c r="M328" s="5">
        <v>20680</v>
      </c>
      <c r="N328" s="5">
        <v>0</v>
      </c>
      <c r="O328" s="5">
        <v>62975</v>
      </c>
      <c r="P328" s="5">
        <v>37786</v>
      </c>
      <c r="Q328">
        <v>2</v>
      </c>
      <c r="R328" t="s">
        <v>41</v>
      </c>
    </row>
    <row r="329" spans="1:18">
      <c r="A329" t="s">
        <v>382</v>
      </c>
      <c r="B329" s="4">
        <v>46118</v>
      </c>
      <c r="C329" t="s">
        <v>36</v>
      </c>
      <c r="D329" t="s">
        <v>231</v>
      </c>
      <c r="E329" t="s">
        <v>234</v>
      </c>
      <c r="F329" t="s">
        <v>46</v>
      </c>
      <c r="G329" t="s">
        <v>40</v>
      </c>
      <c r="H329">
        <v>4</v>
      </c>
      <c r="I329" s="5">
        <v>157337</v>
      </c>
      <c r="J329" s="5">
        <v>14390</v>
      </c>
      <c r="K329" s="5">
        <v>142947</v>
      </c>
      <c r="L329" s="5">
        <v>87072</v>
      </c>
      <c r="M329" s="5">
        <v>9668</v>
      </c>
      <c r="N329" s="5">
        <v>0</v>
      </c>
      <c r="O329" s="5">
        <v>17618</v>
      </c>
      <c r="P329" s="5">
        <v>28589</v>
      </c>
      <c r="Q329">
        <v>2</v>
      </c>
      <c r="R329" t="s">
        <v>41</v>
      </c>
    </row>
    <row r="330" spans="1:18">
      <c r="A330" t="s">
        <v>383</v>
      </c>
      <c r="B330" s="4">
        <v>46178</v>
      </c>
      <c r="C330" t="s">
        <v>36</v>
      </c>
      <c r="D330" t="s">
        <v>231</v>
      </c>
      <c r="E330" t="s">
        <v>243</v>
      </c>
      <c r="F330" t="s">
        <v>46</v>
      </c>
      <c r="G330" t="s">
        <v>40</v>
      </c>
      <c r="H330">
        <v>3</v>
      </c>
      <c r="I330" s="5">
        <v>276650</v>
      </c>
      <c r="J330" s="5">
        <v>29788</v>
      </c>
      <c r="K330" s="5">
        <v>246862</v>
      </c>
      <c r="L330" s="5">
        <v>151045</v>
      </c>
      <c r="M330" s="5">
        <v>17861</v>
      </c>
      <c r="N330" s="5">
        <v>0</v>
      </c>
      <c r="O330" s="5">
        <v>52496</v>
      </c>
      <c r="P330" s="5">
        <v>25460</v>
      </c>
      <c r="Q330">
        <v>5</v>
      </c>
      <c r="R330" t="s">
        <v>41</v>
      </c>
    </row>
    <row r="331" spans="1:18">
      <c r="A331" t="s">
        <v>384</v>
      </c>
      <c r="B331" s="4">
        <v>46181</v>
      </c>
      <c r="C331" t="s">
        <v>36</v>
      </c>
      <c r="D331" t="s">
        <v>231</v>
      </c>
      <c r="E331" t="s">
        <v>239</v>
      </c>
      <c r="F331" t="s">
        <v>61</v>
      </c>
      <c r="G331" t="s">
        <v>40</v>
      </c>
      <c r="H331">
        <v>6</v>
      </c>
      <c r="I331" s="5">
        <v>149452</v>
      </c>
      <c r="J331" s="5">
        <v>19185</v>
      </c>
      <c r="K331" s="5">
        <v>130267</v>
      </c>
      <c r="L331" s="5">
        <v>75685</v>
      </c>
      <c r="M331" s="5">
        <v>10205</v>
      </c>
      <c r="N331" s="5">
        <v>0</v>
      </c>
      <c r="O331" s="5">
        <v>18324</v>
      </c>
      <c r="P331" s="5">
        <v>26053</v>
      </c>
      <c r="Q331">
        <v>3</v>
      </c>
      <c r="R331" t="s">
        <v>41</v>
      </c>
    </row>
    <row r="332" spans="1:18">
      <c r="A332" t="s">
        <v>385</v>
      </c>
      <c r="B332" s="4">
        <v>46202</v>
      </c>
      <c r="C332" t="s">
        <v>36</v>
      </c>
      <c r="D332" t="s">
        <v>231</v>
      </c>
      <c r="E332" t="s">
        <v>243</v>
      </c>
      <c r="F332" t="s">
        <v>61</v>
      </c>
      <c r="G332" t="s">
        <v>40</v>
      </c>
      <c r="H332">
        <v>1</v>
      </c>
      <c r="I332" s="5">
        <v>188400</v>
      </c>
      <c r="J332" s="5">
        <v>17588</v>
      </c>
      <c r="K332" s="5">
        <v>170812</v>
      </c>
      <c r="L332" s="5">
        <v>114667</v>
      </c>
      <c r="M332" s="5">
        <v>14444</v>
      </c>
      <c r="N332" s="5">
        <v>0</v>
      </c>
      <c r="O332" s="5">
        <v>25493</v>
      </c>
      <c r="P332" s="5">
        <v>16208</v>
      </c>
      <c r="Q332">
        <v>2</v>
      </c>
      <c r="R332" t="s">
        <v>41</v>
      </c>
    </row>
    <row r="333" spans="1:18">
      <c r="A333" t="s">
        <v>386</v>
      </c>
      <c r="B333" s="4">
        <v>46184</v>
      </c>
      <c r="C333" t="s">
        <v>36</v>
      </c>
      <c r="D333" t="s">
        <v>231</v>
      </c>
      <c r="E333" t="s">
        <v>239</v>
      </c>
      <c r="F333" t="s">
        <v>49</v>
      </c>
      <c r="G333" t="s">
        <v>40</v>
      </c>
      <c r="H333">
        <v>3</v>
      </c>
      <c r="I333" s="5">
        <v>356897</v>
      </c>
      <c r="J333" s="5">
        <v>28410</v>
      </c>
      <c r="K333" s="5">
        <v>328487</v>
      </c>
      <c r="L333" s="5">
        <v>195569</v>
      </c>
      <c r="M333" s="5">
        <v>17675</v>
      </c>
      <c r="N333" s="5">
        <v>0</v>
      </c>
      <c r="O333" s="5">
        <v>71065</v>
      </c>
      <c r="P333" s="5">
        <v>44178</v>
      </c>
      <c r="Q333">
        <v>4</v>
      </c>
      <c r="R333" t="s">
        <v>41</v>
      </c>
    </row>
    <row r="334" spans="1:18">
      <c r="A334" t="s">
        <v>387</v>
      </c>
      <c r="B334" s="4">
        <v>46128</v>
      </c>
      <c r="C334" t="s">
        <v>36</v>
      </c>
      <c r="D334" t="s">
        <v>231</v>
      </c>
      <c r="E334" t="s">
        <v>239</v>
      </c>
      <c r="F334" t="s">
        <v>49</v>
      </c>
      <c r="G334" t="s">
        <v>40</v>
      </c>
      <c r="H334">
        <v>6</v>
      </c>
      <c r="I334" s="5">
        <v>361315</v>
      </c>
      <c r="J334" s="5">
        <v>28161</v>
      </c>
      <c r="K334" s="5">
        <v>333154</v>
      </c>
      <c r="L334" s="5">
        <v>213553</v>
      </c>
      <c r="M334" s="5">
        <v>21658</v>
      </c>
      <c r="N334" s="5">
        <v>0</v>
      </c>
      <c r="O334" s="5">
        <v>62881</v>
      </c>
      <c r="P334" s="5">
        <v>35062</v>
      </c>
      <c r="Q334">
        <v>4</v>
      </c>
      <c r="R334" t="s">
        <v>41</v>
      </c>
    </row>
    <row r="335" spans="1:18">
      <c r="A335" t="s">
        <v>388</v>
      </c>
      <c r="B335" s="4">
        <v>46200</v>
      </c>
      <c r="C335" t="s">
        <v>36</v>
      </c>
      <c r="D335" t="s">
        <v>231</v>
      </c>
      <c r="E335" t="s">
        <v>234</v>
      </c>
      <c r="F335" t="s">
        <v>49</v>
      </c>
      <c r="G335" t="s">
        <v>40</v>
      </c>
      <c r="H335">
        <v>3</v>
      </c>
      <c r="I335" s="5">
        <v>250047</v>
      </c>
      <c r="J335" s="5">
        <v>15828</v>
      </c>
      <c r="K335" s="5">
        <v>234219</v>
      </c>
      <c r="L335" s="5">
        <v>142408</v>
      </c>
      <c r="M335" s="5">
        <v>20146</v>
      </c>
      <c r="N335" s="5">
        <v>0</v>
      </c>
      <c r="O335" s="5">
        <v>44877</v>
      </c>
      <c r="P335" s="5">
        <v>26788</v>
      </c>
      <c r="Q335">
        <v>2</v>
      </c>
      <c r="R335" t="s">
        <v>41</v>
      </c>
    </row>
    <row r="336" spans="1:18">
      <c r="A336" t="s">
        <v>389</v>
      </c>
      <c r="B336" s="4">
        <v>46181</v>
      </c>
      <c r="C336" t="s">
        <v>36</v>
      </c>
      <c r="D336" t="s">
        <v>231</v>
      </c>
      <c r="E336" t="s">
        <v>232</v>
      </c>
      <c r="F336" t="s">
        <v>51</v>
      </c>
      <c r="G336" t="s">
        <v>43</v>
      </c>
      <c r="H336">
        <v>5</v>
      </c>
      <c r="I336" s="5">
        <v>148048</v>
      </c>
      <c r="J336" s="5">
        <v>16818</v>
      </c>
      <c r="K336" s="5">
        <v>131230</v>
      </c>
      <c r="L336" s="5">
        <v>75122</v>
      </c>
      <c r="M336" s="5">
        <v>9073</v>
      </c>
      <c r="N336" s="5">
        <v>0</v>
      </c>
      <c r="O336" s="5">
        <v>20789</v>
      </c>
      <c r="P336" s="5">
        <v>26246</v>
      </c>
      <c r="Q336">
        <v>2</v>
      </c>
      <c r="R336" t="s">
        <v>41</v>
      </c>
    </row>
    <row r="337" spans="1:18">
      <c r="A337" t="s">
        <v>390</v>
      </c>
      <c r="B337" s="4">
        <v>46195</v>
      </c>
      <c r="C337" t="s">
        <v>36</v>
      </c>
      <c r="D337" t="s">
        <v>231</v>
      </c>
      <c r="E337" t="s">
        <v>234</v>
      </c>
      <c r="F337" t="s">
        <v>61</v>
      </c>
      <c r="G337" t="s">
        <v>40</v>
      </c>
      <c r="H337">
        <v>1</v>
      </c>
      <c r="I337" s="5">
        <v>152574</v>
      </c>
      <c r="J337" s="5">
        <v>14672</v>
      </c>
      <c r="K337" s="5">
        <v>137902</v>
      </c>
      <c r="L337" s="5">
        <v>77978</v>
      </c>
      <c r="M337" s="5">
        <v>10533</v>
      </c>
      <c r="N337" s="5">
        <v>0</v>
      </c>
      <c r="O337" s="5">
        <v>21811</v>
      </c>
      <c r="P337" s="5">
        <v>27580</v>
      </c>
      <c r="Q337">
        <v>5</v>
      </c>
      <c r="R337" t="s">
        <v>41</v>
      </c>
    </row>
    <row r="338" spans="1:18">
      <c r="A338" t="s">
        <v>391</v>
      </c>
      <c r="B338" s="4">
        <v>46157</v>
      </c>
      <c r="C338" t="s">
        <v>36</v>
      </c>
      <c r="D338" t="s">
        <v>231</v>
      </c>
      <c r="E338" t="s">
        <v>232</v>
      </c>
      <c r="F338" t="s">
        <v>46</v>
      </c>
      <c r="G338" t="s">
        <v>40</v>
      </c>
      <c r="H338">
        <v>2</v>
      </c>
      <c r="I338" s="5">
        <v>404630</v>
      </c>
      <c r="J338" s="5">
        <v>62345</v>
      </c>
      <c r="K338" s="5">
        <v>342285</v>
      </c>
      <c r="L338" s="5">
        <v>225071</v>
      </c>
      <c r="M338" s="5">
        <v>25764</v>
      </c>
      <c r="N338" s="5">
        <v>12080</v>
      </c>
      <c r="O338" s="5">
        <v>51664</v>
      </c>
      <c r="P338" s="5">
        <v>27706</v>
      </c>
      <c r="Q338">
        <v>4</v>
      </c>
      <c r="R338" t="s">
        <v>53</v>
      </c>
    </row>
    <row r="339" spans="1:18">
      <c r="A339" t="s">
        <v>392</v>
      </c>
      <c r="B339" s="4">
        <v>46185</v>
      </c>
      <c r="C339" t="s">
        <v>36</v>
      </c>
      <c r="D339" t="s">
        <v>231</v>
      </c>
      <c r="E339" t="s">
        <v>239</v>
      </c>
      <c r="F339" t="s">
        <v>49</v>
      </c>
      <c r="G339" t="s">
        <v>43</v>
      </c>
      <c r="H339">
        <v>6</v>
      </c>
      <c r="I339" s="5">
        <v>385975</v>
      </c>
      <c r="J339" s="5">
        <v>49998</v>
      </c>
      <c r="K339" s="5">
        <v>335977</v>
      </c>
      <c r="L339" s="5">
        <v>225422</v>
      </c>
      <c r="M339" s="5">
        <v>20717</v>
      </c>
      <c r="N339" s="5">
        <v>0</v>
      </c>
      <c r="O339" s="5">
        <v>74635</v>
      </c>
      <c r="P339" s="5">
        <v>15203</v>
      </c>
      <c r="Q339">
        <v>5</v>
      </c>
      <c r="R339" t="s">
        <v>41</v>
      </c>
    </row>
    <row r="340" spans="1:18">
      <c r="A340" t="s">
        <v>393</v>
      </c>
      <c r="B340" s="4">
        <v>46175</v>
      </c>
      <c r="C340" t="s">
        <v>36</v>
      </c>
      <c r="D340" t="s">
        <v>231</v>
      </c>
      <c r="E340" t="s">
        <v>234</v>
      </c>
      <c r="F340" t="s">
        <v>39</v>
      </c>
      <c r="G340" t="s">
        <v>40</v>
      </c>
      <c r="H340">
        <v>6</v>
      </c>
      <c r="I340" s="5">
        <v>278279</v>
      </c>
      <c r="J340" s="5">
        <v>22929</v>
      </c>
      <c r="K340" s="5">
        <v>255350</v>
      </c>
      <c r="L340" s="5">
        <v>159685</v>
      </c>
      <c r="M340" s="5">
        <v>14879</v>
      </c>
      <c r="N340" s="5">
        <v>0</v>
      </c>
      <c r="O340" s="5">
        <v>58193</v>
      </c>
      <c r="P340" s="5">
        <v>22593</v>
      </c>
      <c r="Q340">
        <v>3</v>
      </c>
      <c r="R340" t="s">
        <v>41</v>
      </c>
    </row>
    <row r="341" spans="1:18">
      <c r="A341" t="s">
        <v>394</v>
      </c>
      <c r="B341" s="4">
        <v>46170</v>
      </c>
      <c r="C341" t="s">
        <v>36</v>
      </c>
      <c r="D341" t="s">
        <v>231</v>
      </c>
      <c r="E341" t="s">
        <v>234</v>
      </c>
      <c r="F341" t="s">
        <v>49</v>
      </c>
      <c r="G341" t="s">
        <v>43</v>
      </c>
      <c r="H341">
        <v>6</v>
      </c>
      <c r="I341" s="5">
        <v>142323</v>
      </c>
      <c r="J341" s="5">
        <v>14376</v>
      </c>
      <c r="K341" s="5">
        <v>127947</v>
      </c>
      <c r="L341" s="5">
        <v>75310</v>
      </c>
      <c r="M341" s="5">
        <v>9826</v>
      </c>
      <c r="N341" s="5">
        <v>0</v>
      </c>
      <c r="O341" s="5">
        <v>17222</v>
      </c>
      <c r="P341" s="5">
        <v>25589</v>
      </c>
      <c r="Q341">
        <v>3</v>
      </c>
      <c r="R341" t="s">
        <v>41</v>
      </c>
    </row>
    <row r="342" spans="1:18">
      <c r="A342" t="s">
        <v>395</v>
      </c>
      <c r="B342" s="4">
        <v>46126</v>
      </c>
      <c r="C342" t="s">
        <v>36</v>
      </c>
      <c r="D342" t="s">
        <v>396</v>
      </c>
      <c r="E342" t="s">
        <v>397</v>
      </c>
      <c r="F342" t="s">
        <v>49</v>
      </c>
      <c r="G342" t="s">
        <v>43</v>
      </c>
      <c r="H342">
        <v>3</v>
      </c>
      <c r="I342" s="5">
        <v>275091</v>
      </c>
      <c r="J342" s="5">
        <v>37838</v>
      </c>
      <c r="K342" s="5">
        <v>237253</v>
      </c>
      <c r="L342" s="5">
        <v>159259</v>
      </c>
      <c r="M342" s="5">
        <v>15331</v>
      </c>
      <c r="N342" s="5">
        <v>0</v>
      </c>
      <c r="O342" s="5">
        <v>43054</v>
      </c>
      <c r="P342" s="5">
        <v>19609</v>
      </c>
      <c r="Q342">
        <v>6</v>
      </c>
      <c r="R342" t="s">
        <v>41</v>
      </c>
    </row>
    <row r="343" spans="1:18">
      <c r="A343" t="s">
        <v>398</v>
      </c>
      <c r="B343" s="4">
        <v>46186</v>
      </c>
      <c r="C343" t="s">
        <v>36</v>
      </c>
      <c r="D343" t="s">
        <v>396</v>
      </c>
      <c r="E343" t="s">
        <v>399</v>
      </c>
      <c r="F343" t="s">
        <v>46</v>
      </c>
      <c r="G343" t="s">
        <v>43</v>
      </c>
      <c r="H343">
        <v>5</v>
      </c>
      <c r="I343" s="5">
        <v>280809</v>
      </c>
      <c r="J343" s="5">
        <v>47631</v>
      </c>
      <c r="K343" s="5">
        <v>233178</v>
      </c>
      <c r="L343" s="5">
        <v>153091</v>
      </c>
      <c r="M343" s="5">
        <v>18992</v>
      </c>
      <c r="N343" s="5">
        <v>0</v>
      </c>
      <c r="O343" s="5">
        <v>27748</v>
      </c>
      <c r="P343" s="5">
        <v>33347</v>
      </c>
      <c r="Q343">
        <v>2</v>
      </c>
      <c r="R343" t="s">
        <v>41</v>
      </c>
    </row>
    <row r="344" spans="1:18">
      <c r="A344" t="s">
        <v>400</v>
      </c>
      <c r="B344" s="4">
        <v>46188</v>
      </c>
      <c r="C344" t="s">
        <v>36</v>
      </c>
      <c r="D344" t="s">
        <v>396</v>
      </c>
      <c r="E344" t="s">
        <v>397</v>
      </c>
      <c r="F344" t="s">
        <v>46</v>
      </c>
      <c r="G344" t="s">
        <v>40</v>
      </c>
      <c r="H344">
        <v>3</v>
      </c>
      <c r="I344" s="5">
        <v>206529</v>
      </c>
      <c r="J344" s="5">
        <v>17349</v>
      </c>
      <c r="K344" s="5">
        <v>189180</v>
      </c>
      <c r="L344" s="5">
        <v>118803</v>
      </c>
      <c r="M344" s="5">
        <v>15218</v>
      </c>
      <c r="N344" s="5">
        <v>0</v>
      </c>
      <c r="O344" s="5">
        <v>33174</v>
      </c>
      <c r="P344" s="5">
        <v>21985</v>
      </c>
      <c r="Q344">
        <v>3</v>
      </c>
      <c r="R344" t="s">
        <v>41</v>
      </c>
    </row>
    <row r="345" spans="1:18">
      <c r="A345" t="s">
        <v>401</v>
      </c>
      <c r="B345" s="4">
        <v>46153</v>
      </c>
      <c r="C345" t="s">
        <v>36</v>
      </c>
      <c r="D345" t="s">
        <v>396</v>
      </c>
      <c r="E345" t="s">
        <v>402</v>
      </c>
      <c r="F345" t="s">
        <v>39</v>
      </c>
      <c r="G345" t="s">
        <v>40</v>
      </c>
      <c r="H345">
        <v>6</v>
      </c>
      <c r="I345" s="5">
        <v>211459</v>
      </c>
      <c r="J345" s="5">
        <v>32818</v>
      </c>
      <c r="K345" s="5">
        <v>178641</v>
      </c>
      <c r="L345" s="5">
        <v>110372</v>
      </c>
      <c r="M345" s="5">
        <v>12490</v>
      </c>
      <c r="N345" s="5">
        <v>0</v>
      </c>
      <c r="O345" s="5">
        <v>20576</v>
      </c>
      <c r="P345" s="5">
        <v>35203</v>
      </c>
      <c r="Q345">
        <v>4</v>
      </c>
      <c r="R345" t="s">
        <v>41</v>
      </c>
    </row>
    <row r="346" spans="1:18">
      <c r="A346" t="s">
        <v>403</v>
      </c>
      <c r="B346" s="4">
        <v>46122</v>
      </c>
      <c r="C346" t="s">
        <v>36</v>
      </c>
      <c r="D346" t="s">
        <v>396</v>
      </c>
      <c r="E346" t="s">
        <v>404</v>
      </c>
      <c r="F346" t="s">
        <v>46</v>
      </c>
      <c r="G346" t="s">
        <v>43</v>
      </c>
      <c r="H346">
        <v>3</v>
      </c>
      <c r="I346" s="5">
        <v>231650</v>
      </c>
      <c r="J346" s="5">
        <v>28505</v>
      </c>
      <c r="K346" s="5">
        <v>203145</v>
      </c>
      <c r="L346" s="5">
        <v>123158</v>
      </c>
      <c r="M346" s="5">
        <v>15556</v>
      </c>
      <c r="N346" s="5">
        <v>0</v>
      </c>
      <c r="O346" s="5">
        <v>40199</v>
      </c>
      <c r="P346" s="5">
        <v>24232</v>
      </c>
      <c r="Q346">
        <v>2</v>
      </c>
      <c r="R346" t="s">
        <v>41</v>
      </c>
    </row>
    <row r="347" spans="1:18">
      <c r="A347" t="s">
        <v>405</v>
      </c>
      <c r="B347" s="4">
        <v>46137</v>
      </c>
      <c r="C347" t="s">
        <v>36</v>
      </c>
      <c r="D347" t="s">
        <v>396</v>
      </c>
      <c r="E347" t="s">
        <v>402</v>
      </c>
      <c r="F347" t="s">
        <v>51</v>
      </c>
      <c r="G347" t="s">
        <v>40</v>
      </c>
      <c r="H347">
        <v>6</v>
      </c>
      <c r="I347" s="5">
        <v>125392</v>
      </c>
      <c r="J347" s="5">
        <v>14918</v>
      </c>
      <c r="K347" s="5">
        <v>110474</v>
      </c>
      <c r="L347" s="5">
        <v>61552</v>
      </c>
      <c r="M347" s="5">
        <v>7940</v>
      </c>
      <c r="N347" s="5">
        <v>0</v>
      </c>
      <c r="O347" s="5">
        <v>18888</v>
      </c>
      <c r="P347" s="5">
        <v>22094</v>
      </c>
      <c r="Q347">
        <v>5</v>
      </c>
      <c r="R347" t="s">
        <v>41</v>
      </c>
    </row>
    <row r="348" spans="1:18">
      <c r="A348" t="s">
        <v>406</v>
      </c>
      <c r="B348" s="4">
        <v>46158</v>
      </c>
      <c r="C348" t="s">
        <v>36</v>
      </c>
      <c r="D348" t="s">
        <v>396</v>
      </c>
      <c r="E348" t="s">
        <v>404</v>
      </c>
      <c r="F348" t="s">
        <v>61</v>
      </c>
      <c r="G348" t="s">
        <v>40</v>
      </c>
      <c r="H348">
        <v>1</v>
      </c>
      <c r="I348" s="5">
        <v>183753</v>
      </c>
      <c r="J348" s="5">
        <v>20465</v>
      </c>
      <c r="K348" s="5">
        <v>163288</v>
      </c>
      <c r="L348" s="5">
        <v>92431</v>
      </c>
      <c r="M348" s="5">
        <v>12321</v>
      </c>
      <c r="N348" s="5">
        <v>0</v>
      </c>
      <c r="O348" s="5">
        <v>27174</v>
      </c>
      <c r="P348" s="5">
        <v>31362</v>
      </c>
      <c r="Q348">
        <v>4</v>
      </c>
      <c r="R348" t="s">
        <v>41</v>
      </c>
    </row>
    <row r="349" spans="1:18">
      <c r="A349" t="s">
        <v>407</v>
      </c>
      <c r="B349" s="4">
        <v>46118</v>
      </c>
      <c r="C349" t="s">
        <v>36</v>
      </c>
      <c r="D349" t="s">
        <v>396</v>
      </c>
      <c r="E349" t="s">
        <v>402</v>
      </c>
      <c r="F349" t="s">
        <v>39</v>
      </c>
      <c r="G349" t="s">
        <v>43</v>
      </c>
      <c r="H349">
        <v>4</v>
      </c>
      <c r="I349" s="5">
        <v>172899</v>
      </c>
      <c r="J349" s="5">
        <v>15005</v>
      </c>
      <c r="K349" s="5">
        <v>157894</v>
      </c>
      <c r="L349" s="5">
        <v>100660</v>
      </c>
      <c r="M349" s="5">
        <v>12399</v>
      </c>
      <c r="N349" s="5">
        <v>0</v>
      </c>
      <c r="O349" s="5">
        <v>23848</v>
      </c>
      <c r="P349" s="5">
        <v>20987</v>
      </c>
      <c r="Q349">
        <v>1</v>
      </c>
      <c r="R349" t="s">
        <v>41</v>
      </c>
    </row>
    <row r="350" spans="1:18">
      <c r="A350" t="s">
        <v>408</v>
      </c>
      <c r="B350" s="4">
        <v>46178</v>
      </c>
      <c r="C350" t="s">
        <v>36</v>
      </c>
      <c r="D350" t="s">
        <v>396</v>
      </c>
      <c r="E350" t="s">
        <v>399</v>
      </c>
      <c r="F350" t="s">
        <v>46</v>
      </c>
      <c r="G350" t="s">
        <v>40</v>
      </c>
      <c r="H350">
        <v>5</v>
      </c>
      <c r="I350" s="5">
        <v>326065</v>
      </c>
      <c r="J350" s="5">
        <v>54752</v>
      </c>
      <c r="K350" s="5">
        <v>271313</v>
      </c>
      <c r="L350" s="5">
        <v>179890</v>
      </c>
      <c r="M350" s="5">
        <v>17452</v>
      </c>
      <c r="N350" s="5">
        <v>0</v>
      </c>
      <c r="O350" s="5">
        <v>48508</v>
      </c>
      <c r="P350" s="5">
        <v>25463</v>
      </c>
      <c r="Q350">
        <v>1</v>
      </c>
      <c r="R350" t="s">
        <v>41</v>
      </c>
    </row>
    <row r="351" spans="1:18">
      <c r="A351" t="s">
        <v>409</v>
      </c>
      <c r="B351" s="4">
        <v>46200</v>
      </c>
      <c r="C351" t="s">
        <v>36</v>
      </c>
      <c r="D351" t="s">
        <v>396</v>
      </c>
      <c r="E351" t="s">
        <v>404</v>
      </c>
      <c r="F351" t="s">
        <v>46</v>
      </c>
      <c r="G351" t="s">
        <v>40</v>
      </c>
      <c r="H351">
        <v>6</v>
      </c>
      <c r="I351" s="5">
        <v>238095</v>
      </c>
      <c r="J351" s="5">
        <v>33240</v>
      </c>
      <c r="K351" s="5">
        <v>204855</v>
      </c>
      <c r="L351" s="5">
        <v>134536</v>
      </c>
      <c r="M351" s="5">
        <v>18283</v>
      </c>
      <c r="N351" s="5">
        <v>8223</v>
      </c>
      <c r="O351" s="5">
        <v>26313</v>
      </c>
      <c r="P351" s="5">
        <v>17500</v>
      </c>
      <c r="Q351">
        <v>4</v>
      </c>
      <c r="R351" t="s">
        <v>53</v>
      </c>
    </row>
    <row r="352" spans="1:18">
      <c r="A352" t="s">
        <v>410</v>
      </c>
      <c r="B352" s="4">
        <v>46125</v>
      </c>
      <c r="C352" t="s">
        <v>36</v>
      </c>
      <c r="D352" t="s">
        <v>396</v>
      </c>
      <c r="E352" t="s">
        <v>399</v>
      </c>
      <c r="F352" t="s">
        <v>39</v>
      </c>
      <c r="G352" t="s">
        <v>43</v>
      </c>
      <c r="H352">
        <v>2</v>
      </c>
      <c r="I352" s="5">
        <v>318663</v>
      </c>
      <c r="J352" s="5">
        <v>25402</v>
      </c>
      <c r="K352" s="5">
        <v>293261</v>
      </c>
      <c r="L352" s="5">
        <v>185890</v>
      </c>
      <c r="M352" s="5">
        <v>23746</v>
      </c>
      <c r="N352" s="5">
        <v>0</v>
      </c>
      <c r="O352" s="5">
        <v>63428</v>
      </c>
      <c r="P352" s="5">
        <v>20197</v>
      </c>
      <c r="Q352">
        <v>3</v>
      </c>
      <c r="R352" t="s">
        <v>41</v>
      </c>
    </row>
    <row r="353" spans="1:18">
      <c r="A353" t="s">
        <v>411</v>
      </c>
      <c r="B353" s="4">
        <v>46176</v>
      </c>
      <c r="C353" t="s">
        <v>36</v>
      </c>
      <c r="D353" t="s">
        <v>396</v>
      </c>
      <c r="E353" t="s">
        <v>402</v>
      </c>
      <c r="F353" t="s">
        <v>51</v>
      </c>
      <c r="G353" t="s">
        <v>43</v>
      </c>
      <c r="H353">
        <v>6</v>
      </c>
      <c r="I353" s="5">
        <v>151774</v>
      </c>
      <c r="J353" s="5">
        <v>12967</v>
      </c>
      <c r="K353" s="5">
        <v>138807</v>
      </c>
      <c r="L353" s="5">
        <v>80221</v>
      </c>
      <c r="M353" s="5">
        <v>9385</v>
      </c>
      <c r="N353" s="5">
        <v>0</v>
      </c>
      <c r="O353" s="5">
        <v>21440</v>
      </c>
      <c r="P353" s="5">
        <v>27761</v>
      </c>
      <c r="Q353">
        <v>3</v>
      </c>
      <c r="R353" t="s">
        <v>41</v>
      </c>
    </row>
    <row r="354" spans="1:18">
      <c r="A354" t="s">
        <v>412</v>
      </c>
      <c r="B354" s="4">
        <v>46186</v>
      </c>
      <c r="C354" t="s">
        <v>36</v>
      </c>
      <c r="D354" t="s">
        <v>396</v>
      </c>
      <c r="E354" t="s">
        <v>404</v>
      </c>
      <c r="F354" t="s">
        <v>61</v>
      </c>
      <c r="G354" t="s">
        <v>43</v>
      </c>
      <c r="H354">
        <v>2</v>
      </c>
      <c r="I354" s="5">
        <v>303321</v>
      </c>
      <c r="J354" s="5">
        <v>33505</v>
      </c>
      <c r="K354" s="5">
        <v>269816</v>
      </c>
      <c r="L354" s="5">
        <v>172521</v>
      </c>
      <c r="M354" s="5">
        <v>18799</v>
      </c>
      <c r="N354" s="5">
        <v>0</v>
      </c>
      <c r="O354" s="5">
        <v>49614</v>
      </c>
      <c r="P354" s="5">
        <v>28882</v>
      </c>
      <c r="Q354">
        <v>2</v>
      </c>
      <c r="R354" t="s">
        <v>41</v>
      </c>
    </row>
    <row r="355" spans="1:18">
      <c r="A355" t="s">
        <v>413</v>
      </c>
      <c r="B355" s="4">
        <v>46173</v>
      </c>
      <c r="C355" t="s">
        <v>36</v>
      </c>
      <c r="D355" t="s">
        <v>396</v>
      </c>
      <c r="E355" t="s">
        <v>397</v>
      </c>
      <c r="F355" t="s">
        <v>51</v>
      </c>
      <c r="G355" t="s">
        <v>43</v>
      </c>
      <c r="H355">
        <v>4</v>
      </c>
      <c r="I355" s="5">
        <v>315795</v>
      </c>
      <c r="J355" s="5">
        <v>14268</v>
      </c>
      <c r="K355" s="5">
        <v>301527</v>
      </c>
      <c r="L355" s="5">
        <v>191906</v>
      </c>
      <c r="M355" s="5">
        <v>25307</v>
      </c>
      <c r="N355" s="5">
        <v>0</v>
      </c>
      <c r="O355" s="5">
        <v>57864</v>
      </c>
      <c r="P355" s="5">
        <v>26450</v>
      </c>
      <c r="Q355">
        <v>2</v>
      </c>
      <c r="R355" t="s">
        <v>41</v>
      </c>
    </row>
    <row r="356" spans="1:18">
      <c r="A356" t="s">
        <v>414</v>
      </c>
      <c r="B356" s="4">
        <v>46175</v>
      </c>
      <c r="C356" t="s">
        <v>36</v>
      </c>
      <c r="D356" t="s">
        <v>396</v>
      </c>
      <c r="E356" t="s">
        <v>399</v>
      </c>
      <c r="F356" t="s">
        <v>39</v>
      </c>
      <c r="G356" t="s">
        <v>40</v>
      </c>
      <c r="H356">
        <v>4</v>
      </c>
      <c r="I356" s="5">
        <v>250582</v>
      </c>
      <c r="J356" s="5">
        <v>39879</v>
      </c>
      <c r="K356" s="5">
        <v>210703</v>
      </c>
      <c r="L356" s="5">
        <v>141475</v>
      </c>
      <c r="M356" s="5">
        <v>15622</v>
      </c>
      <c r="N356" s="5">
        <v>0</v>
      </c>
      <c r="O356" s="5">
        <v>34927</v>
      </c>
      <c r="P356" s="5">
        <v>18679</v>
      </c>
      <c r="Q356">
        <v>5</v>
      </c>
      <c r="R356" t="s">
        <v>41</v>
      </c>
    </row>
    <row r="357" spans="1:18">
      <c r="A357" t="s">
        <v>415</v>
      </c>
      <c r="B357" s="4">
        <v>46125</v>
      </c>
      <c r="C357" t="s">
        <v>36</v>
      </c>
      <c r="D357" t="s">
        <v>396</v>
      </c>
      <c r="E357" t="s">
        <v>402</v>
      </c>
      <c r="F357" t="s">
        <v>39</v>
      </c>
      <c r="G357" t="s">
        <v>43</v>
      </c>
      <c r="H357">
        <v>3</v>
      </c>
      <c r="I357" s="5">
        <v>215256</v>
      </c>
      <c r="J357" s="5">
        <v>27335</v>
      </c>
      <c r="K357" s="5">
        <v>187921</v>
      </c>
      <c r="L357" s="5">
        <v>119437</v>
      </c>
      <c r="M357" s="5">
        <v>11983</v>
      </c>
      <c r="N357" s="5">
        <v>0</v>
      </c>
      <c r="O357" s="5">
        <v>39354</v>
      </c>
      <c r="P357" s="5">
        <v>17147</v>
      </c>
      <c r="Q357">
        <v>4</v>
      </c>
      <c r="R357" t="s">
        <v>41</v>
      </c>
    </row>
    <row r="358" spans="1:18">
      <c r="A358" t="s">
        <v>416</v>
      </c>
      <c r="B358" s="4">
        <v>46157</v>
      </c>
      <c r="C358" t="s">
        <v>36</v>
      </c>
      <c r="D358" t="s">
        <v>396</v>
      </c>
      <c r="E358" t="s">
        <v>404</v>
      </c>
      <c r="F358" t="s">
        <v>49</v>
      </c>
      <c r="G358" t="s">
        <v>40</v>
      </c>
      <c r="H358">
        <v>3</v>
      </c>
      <c r="I358" s="5">
        <v>191893</v>
      </c>
      <c r="J358" s="5">
        <v>15629</v>
      </c>
      <c r="K358" s="5">
        <v>176264</v>
      </c>
      <c r="L358" s="5">
        <v>111580</v>
      </c>
      <c r="M358" s="5">
        <v>10932</v>
      </c>
      <c r="N358" s="5">
        <v>0</v>
      </c>
      <c r="O358" s="5">
        <v>25689</v>
      </c>
      <c r="P358" s="5">
        <v>28063</v>
      </c>
      <c r="Q358">
        <v>5</v>
      </c>
      <c r="R358" t="s">
        <v>41</v>
      </c>
    </row>
    <row r="359" spans="1:18">
      <c r="A359" t="s">
        <v>417</v>
      </c>
      <c r="B359" s="4">
        <v>46161</v>
      </c>
      <c r="C359" t="s">
        <v>36</v>
      </c>
      <c r="D359" t="s">
        <v>396</v>
      </c>
      <c r="E359" t="s">
        <v>399</v>
      </c>
      <c r="F359" t="s">
        <v>46</v>
      </c>
      <c r="G359" t="s">
        <v>40</v>
      </c>
      <c r="H359">
        <v>2</v>
      </c>
      <c r="I359" s="5">
        <v>249581</v>
      </c>
      <c r="J359" s="5">
        <v>19440</v>
      </c>
      <c r="K359" s="5">
        <v>230141</v>
      </c>
      <c r="L359" s="5">
        <v>143388</v>
      </c>
      <c r="M359" s="5">
        <v>17720</v>
      </c>
      <c r="N359" s="5">
        <v>0</v>
      </c>
      <c r="O359" s="5">
        <v>36977</v>
      </c>
      <c r="P359" s="5">
        <v>32056</v>
      </c>
      <c r="Q359">
        <v>5</v>
      </c>
      <c r="R359" t="s">
        <v>41</v>
      </c>
    </row>
    <row r="360" spans="1:18">
      <c r="A360" t="s">
        <v>418</v>
      </c>
      <c r="B360" s="4">
        <v>46122</v>
      </c>
      <c r="C360" t="s">
        <v>36</v>
      </c>
      <c r="D360" t="s">
        <v>396</v>
      </c>
      <c r="E360" t="s">
        <v>397</v>
      </c>
      <c r="F360" t="s">
        <v>51</v>
      </c>
      <c r="G360" t="s">
        <v>43</v>
      </c>
      <c r="H360">
        <v>2</v>
      </c>
      <c r="I360" s="5">
        <v>157148</v>
      </c>
      <c r="J360" s="5">
        <v>9267</v>
      </c>
      <c r="K360" s="5">
        <v>147881</v>
      </c>
      <c r="L360" s="5">
        <v>95044</v>
      </c>
      <c r="M360" s="5">
        <v>11185</v>
      </c>
      <c r="N360" s="5">
        <v>0</v>
      </c>
      <c r="O360" s="5">
        <v>26151</v>
      </c>
      <c r="P360" s="5">
        <v>15501</v>
      </c>
      <c r="Q360">
        <v>1</v>
      </c>
      <c r="R360" t="s">
        <v>41</v>
      </c>
    </row>
    <row r="361" spans="1:18">
      <c r="A361" t="s">
        <v>419</v>
      </c>
      <c r="B361" s="4">
        <v>46169</v>
      </c>
      <c r="C361" t="s">
        <v>36</v>
      </c>
      <c r="D361" t="s">
        <v>396</v>
      </c>
      <c r="E361" t="s">
        <v>399</v>
      </c>
      <c r="F361" t="s">
        <v>49</v>
      </c>
      <c r="G361" t="s">
        <v>43</v>
      </c>
      <c r="H361">
        <v>4</v>
      </c>
      <c r="I361" s="5">
        <v>266183</v>
      </c>
      <c r="J361" s="5">
        <v>24016</v>
      </c>
      <c r="K361" s="5">
        <v>242167</v>
      </c>
      <c r="L361" s="5">
        <v>152691</v>
      </c>
      <c r="M361" s="5">
        <v>17285</v>
      </c>
      <c r="N361" s="5">
        <v>0</v>
      </c>
      <c r="O361" s="5">
        <v>35272</v>
      </c>
      <c r="P361" s="5">
        <v>36919</v>
      </c>
      <c r="Q361">
        <v>5</v>
      </c>
      <c r="R361" t="s">
        <v>41</v>
      </c>
    </row>
    <row r="362" spans="1:18">
      <c r="A362" t="s">
        <v>420</v>
      </c>
      <c r="B362" s="4">
        <v>46202</v>
      </c>
      <c r="C362" t="s">
        <v>36</v>
      </c>
      <c r="D362" t="s">
        <v>396</v>
      </c>
      <c r="E362" t="s">
        <v>397</v>
      </c>
      <c r="F362" t="s">
        <v>51</v>
      </c>
      <c r="G362" t="s">
        <v>40</v>
      </c>
      <c r="H362">
        <v>4</v>
      </c>
      <c r="I362" s="5">
        <v>343064</v>
      </c>
      <c r="J362" s="5">
        <v>49435</v>
      </c>
      <c r="K362" s="5">
        <v>293629</v>
      </c>
      <c r="L362" s="5">
        <v>183028</v>
      </c>
      <c r="M362" s="5">
        <v>18371</v>
      </c>
      <c r="N362" s="5">
        <v>0</v>
      </c>
      <c r="O362" s="5">
        <v>63378</v>
      </c>
      <c r="P362" s="5">
        <v>28852</v>
      </c>
      <c r="Q362">
        <v>6</v>
      </c>
      <c r="R362" t="s">
        <v>41</v>
      </c>
    </row>
    <row r="363" spans="1:18">
      <c r="A363" t="s">
        <v>421</v>
      </c>
      <c r="B363" s="4">
        <v>46123</v>
      </c>
      <c r="C363" t="s">
        <v>36</v>
      </c>
      <c r="D363" t="s">
        <v>396</v>
      </c>
      <c r="E363" t="s">
        <v>397</v>
      </c>
      <c r="F363" t="s">
        <v>39</v>
      </c>
      <c r="G363" t="s">
        <v>40</v>
      </c>
      <c r="H363">
        <v>1</v>
      </c>
      <c r="I363" s="5">
        <v>337930</v>
      </c>
      <c r="J363" s="5">
        <v>40598</v>
      </c>
      <c r="K363" s="5">
        <v>297332</v>
      </c>
      <c r="L363" s="5">
        <v>212219</v>
      </c>
      <c r="M363" s="5">
        <v>22907</v>
      </c>
      <c r="N363" s="5">
        <v>12826</v>
      </c>
      <c r="O363" s="5">
        <v>31622</v>
      </c>
      <c r="P363" s="5">
        <v>17758</v>
      </c>
      <c r="Q363">
        <v>4</v>
      </c>
      <c r="R363" t="s">
        <v>53</v>
      </c>
    </row>
    <row r="364" spans="1:18">
      <c r="A364" t="s">
        <v>422</v>
      </c>
      <c r="B364" s="4">
        <v>46193</v>
      </c>
      <c r="C364" t="s">
        <v>36</v>
      </c>
      <c r="D364" t="s">
        <v>396</v>
      </c>
      <c r="E364" t="s">
        <v>404</v>
      </c>
      <c r="F364" t="s">
        <v>51</v>
      </c>
      <c r="G364" t="s">
        <v>40</v>
      </c>
      <c r="H364">
        <v>1</v>
      </c>
      <c r="I364" s="5">
        <v>150431</v>
      </c>
      <c r="J364" s="5">
        <v>10377</v>
      </c>
      <c r="K364" s="5">
        <v>140054</v>
      </c>
      <c r="L364" s="5">
        <v>79309</v>
      </c>
      <c r="M364" s="5">
        <v>7831</v>
      </c>
      <c r="N364" s="5">
        <v>0</v>
      </c>
      <c r="O364" s="5">
        <v>24904</v>
      </c>
      <c r="P364" s="5">
        <v>28010</v>
      </c>
      <c r="Q364">
        <v>1</v>
      </c>
      <c r="R364" t="s">
        <v>41</v>
      </c>
    </row>
    <row r="365" spans="1:18">
      <c r="A365" t="s">
        <v>423</v>
      </c>
      <c r="B365" s="4">
        <v>46182</v>
      </c>
      <c r="C365" t="s">
        <v>36</v>
      </c>
      <c r="D365" t="s">
        <v>396</v>
      </c>
      <c r="E365" t="s">
        <v>399</v>
      </c>
      <c r="F365" t="s">
        <v>49</v>
      </c>
      <c r="G365" t="s">
        <v>43</v>
      </c>
      <c r="H365">
        <v>2</v>
      </c>
      <c r="I365" s="5">
        <v>264926</v>
      </c>
      <c r="J365" s="5">
        <v>37642</v>
      </c>
      <c r="K365" s="5">
        <v>227284</v>
      </c>
      <c r="L365" s="5">
        <v>159456</v>
      </c>
      <c r="M365" s="5">
        <v>19779</v>
      </c>
      <c r="N365" s="5">
        <v>0</v>
      </c>
      <c r="O365" s="5">
        <v>29923</v>
      </c>
      <c r="P365" s="5">
        <v>18126</v>
      </c>
      <c r="Q365">
        <v>3</v>
      </c>
      <c r="R365" t="s">
        <v>41</v>
      </c>
    </row>
    <row r="366" spans="1:18">
      <c r="A366" t="s">
        <v>424</v>
      </c>
      <c r="B366" s="4">
        <v>46194</v>
      </c>
      <c r="C366" t="s">
        <v>36</v>
      </c>
      <c r="D366" t="s">
        <v>396</v>
      </c>
      <c r="E366" t="s">
        <v>402</v>
      </c>
      <c r="F366" t="s">
        <v>49</v>
      </c>
      <c r="G366" t="s">
        <v>43</v>
      </c>
      <c r="H366">
        <v>3</v>
      </c>
      <c r="I366" s="5">
        <v>199582</v>
      </c>
      <c r="J366" s="5">
        <v>32561</v>
      </c>
      <c r="K366" s="5">
        <v>167021</v>
      </c>
      <c r="L366" s="5">
        <v>94152</v>
      </c>
      <c r="M366" s="5">
        <v>11351</v>
      </c>
      <c r="N366" s="5">
        <v>0</v>
      </c>
      <c r="O366" s="5">
        <v>29786</v>
      </c>
      <c r="P366" s="5">
        <v>31732</v>
      </c>
      <c r="Q366">
        <v>3</v>
      </c>
      <c r="R366" t="s">
        <v>41</v>
      </c>
    </row>
    <row r="367" spans="1:18">
      <c r="A367" t="s">
        <v>425</v>
      </c>
      <c r="B367" s="4">
        <v>46132</v>
      </c>
      <c r="C367" t="s">
        <v>36</v>
      </c>
      <c r="D367" t="s">
        <v>396</v>
      </c>
      <c r="E367" t="s">
        <v>399</v>
      </c>
      <c r="F367" t="s">
        <v>61</v>
      </c>
      <c r="G367" t="s">
        <v>40</v>
      </c>
      <c r="H367">
        <v>5</v>
      </c>
      <c r="I367" s="5">
        <v>331575</v>
      </c>
      <c r="J367" s="5">
        <v>28198</v>
      </c>
      <c r="K367" s="5">
        <v>303377</v>
      </c>
      <c r="L367" s="5">
        <v>182474</v>
      </c>
      <c r="M367" s="5">
        <v>19178</v>
      </c>
      <c r="N367" s="5">
        <v>0</v>
      </c>
      <c r="O367" s="5">
        <v>63550</v>
      </c>
      <c r="P367" s="5">
        <v>38175</v>
      </c>
      <c r="Q367">
        <v>3</v>
      </c>
      <c r="R367" t="s">
        <v>41</v>
      </c>
    </row>
    <row r="368" spans="1:18">
      <c r="A368" t="s">
        <v>426</v>
      </c>
      <c r="B368" s="4">
        <v>46174</v>
      </c>
      <c r="C368" t="s">
        <v>36</v>
      </c>
      <c r="D368" t="s">
        <v>396</v>
      </c>
      <c r="E368" t="s">
        <v>399</v>
      </c>
      <c r="F368" t="s">
        <v>61</v>
      </c>
      <c r="G368" t="s">
        <v>43</v>
      </c>
      <c r="H368">
        <v>3</v>
      </c>
      <c r="I368" s="5">
        <v>146197</v>
      </c>
      <c r="J368" s="5">
        <v>20048</v>
      </c>
      <c r="K368" s="5">
        <v>126149</v>
      </c>
      <c r="L368" s="5">
        <v>71749</v>
      </c>
      <c r="M368" s="5">
        <v>7949</v>
      </c>
      <c r="N368" s="5">
        <v>6749</v>
      </c>
      <c r="O368" s="5">
        <v>14473</v>
      </c>
      <c r="P368" s="5">
        <v>25229</v>
      </c>
      <c r="Q368">
        <v>1</v>
      </c>
      <c r="R368" t="s">
        <v>53</v>
      </c>
    </row>
    <row r="369" spans="1:18">
      <c r="A369" t="s">
        <v>427</v>
      </c>
      <c r="B369" s="4">
        <v>46168</v>
      </c>
      <c r="C369" t="s">
        <v>36</v>
      </c>
      <c r="D369" t="s">
        <v>396</v>
      </c>
      <c r="E369" t="s">
        <v>402</v>
      </c>
      <c r="F369" t="s">
        <v>51</v>
      </c>
      <c r="G369" t="s">
        <v>40</v>
      </c>
      <c r="H369">
        <v>6</v>
      </c>
      <c r="I369" s="5">
        <v>133779</v>
      </c>
      <c r="J369" s="5">
        <v>7862</v>
      </c>
      <c r="K369" s="5">
        <v>125917</v>
      </c>
      <c r="L369" s="5">
        <v>73469</v>
      </c>
      <c r="M369" s="5">
        <v>6803</v>
      </c>
      <c r="N369" s="5">
        <v>0</v>
      </c>
      <c r="O369" s="5">
        <v>20462</v>
      </c>
      <c r="P369" s="5">
        <v>25183</v>
      </c>
      <c r="Q369">
        <v>2</v>
      </c>
      <c r="R369" t="s">
        <v>41</v>
      </c>
    </row>
    <row r="370" spans="1:18">
      <c r="A370" t="s">
        <v>428</v>
      </c>
      <c r="B370" s="4">
        <v>46143</v>
      </c>
      <c r="C370" t="s">
        <v>36</v>
      </c>
      <c r="D370" t="s">
        <v>396</v>
      </c>
      <c r="E370" t="s">
        <v>399</v>
      </c>
      <c r="F370" t="s">
        <v>39</v>
      </c>
      <c r="G370" t="s">
        <v>43</v>
      </c>
      <c r="H370">
        <v>4</v>
      </c>
      <c r="I370" s="5">
        <v>127120</v>
      </c>
      <c r="J370" s="5">
        <v>13626</v>
      </c>
      <c r="K370" s="5">
        <v>113494</v>
      </c>
      <c r="L370" s="5">
        <v>64833</v>
      </c>
      <c r="M370" s="5">
        <v>6402</v>
      </c>
      <c r="N370" s="5">
        <v>0</v>
      </c>
      <c r="O370" s="5">
        <v>19561</v>
      </c>
      <c r="P370" s="5">
        <v>22698</v>
      </c>
      <c r="Q370">
        <v>2</v>
      </c>
      <c r="R370" t="s">
        <v>41</v>
      </c>
    </row>
    <row r="371" spans="1:18">
      <c r="A371" t="s">
        <v>429</v>
      </c>
      <c r="B371" s="4">
        <v>46170</v>
      </c>
      <c r="C371" t="s">
        <v>36</v>
      </c>
      <c r="D371" t="s">
        <v>396</v>
      </c>
      <c r="E371" t="s">
        <v>399</v>
      </c>
      <c r="F371" t="s">
        <v>49</v>
      </c>
      <c r="G371" t="s">
        <v>43</v>
      </c>
      <c r="H371">
        <v>2</v>
      </c>
      <c r="I371" s="5">
        <v>249046</v>
      </c>
      <c r="J371" s="5">
        <v>28642</v>
      </c>
      <c r="K371" s="5">
        <v>220404</v>
      </c>
      <c r="L371" s="5">
        <v>132238</v>
      </c>
      <c r="M371" s="5">
        <v>12304</v>
      </c>
      <c r="N371" s="5">
        <v>0</v>
      </c>
      <c r="O371" s="5">
        <v>46472</v>
      </c>
      <c r="P371" s="5">
        <v>29390</v>
      </c>
      <c r="Q371">
        <v>4</v>
      </c>
      <c r="R371" t="s">
        <v>41</v>
      </c>
    </row>
    <row r="372" spans="1:18">
      <c r="A372" t="s">
        <v>430</v>
      </c>
      <c r="B372" s="4">
        <v>46149</v>
      </c>
      <c r="C372" t="s">
        <v>36</v>
      </c>
      <c r="D372" t="s">
        <v>396</v>
      </c>
      <c r="E372" t="s">
        <v>399</v>
      </c>
      <c r="F372" t="s">
        <v>51</v>
      </c>
      <c r="G372" t="s">
        <v>43</v>
      </c>
      <c r="H372">
        <v>6</v>
      </c>
      <c r="I372" s="5">
        <v>129355</v>
      </c>
      <c r="J372" s="5">
        <v>13112</v>
      </c>
      <c r="K372" s="5">
        <v>116243</v>
      </c>
      <c r="L372" s="5">
        <v>71352</v>
      </c>
      <c r="M372" s="5">
        <v>5662</v>
      </c>
      <c r="N372" s="5">
        <v>0</v>
      </c>
      <c r="O372" s="5">
        <v>15981</v>
      </c>
      <c r="P372" s="5">
        <v>23248</v>
      </c>
      <c r="Q372">
        <v>4</v>
      </c>
      <c r="R372" t="s">
        <v>41</v>
      </c>
    </row>
    <row r="373" spans="1:18">
      <c r="A373" t="s">
        <v>431</v>
      </c>
      <c r="B373" s="4">
        <v>46176</v>
      </c>
      <c r="C373" t="s">
        <v>36</v>
      </c>
      <c r="D373" t="s">
        <v>396</v>
      </c>
      <c r="E373" t="s">
        <v>399</v>
      </c>
      <c r="F373" t="s">
        <v>46</v>
      </c>
      <c r="G373" t="s">
        <v>40</v>
      </c>
      <c r="H373">
        <v>3</v>
      </c>
      <c r="I373" s="5">
        <v>270637</v>
      </c>
      <c r="J373" s="5">
        <v>33883</v>
      </c>
      <c r="K373" s="5">
        <v>236754</v>
      </c>
      <c r="L373" s="5">
        <v>150659</v>
      </c>
      <c r="M373" s="5">
        <v>15188</v>
      </c>
      <c r="N373" s="5">
        <v>0</v>
      </c>
      <c r="O373" s="5">
        <v>55280</v>
      </c>
      <c r="P373" s="5">
        <v>15627</v>
      </c>
      <c r="Q373">
        <v>3</v>
      </c>
      <c r="R373" t="s">
        <v>41</v>
      </c>
    </row>
    <row r="374" spans="1:18">
      <c r="A374" t="s">
        <v>432</v>
      </c>
      <c r="B374" s="4">
        <v>46182</v>
      </c>
      <c r="C374" t="s">
        <v>36</v>
      </c>
      <c r="D374" t="s">
        <v>396</v>
      </c>
      <c r="E374" t="s">
        <v>402</v>
      </c>
      <c r="F374" t="s">
        <v>51</v>
      </c>
      <c r="G374" t="s">
        <v>40</v>
      </c>
      <c r="H374">
        <v>3</v>
      </c>
      <c r="I374" s="5">
        <v>236104</v>
      </c>
      <c r="J374" s="5">
        <v>38030</v>
      </c>
      <c r="K374" s="5">
        <v>198074</v>
      </c>
      <c r="L374" s="5">
        <v>116767</v>
      </c>
      <c r="M374" s="5">
        <v>11903</v>
      </c>
      <c r="N374" s="5">
        <v>0</v>
      </c>
      <c r="O374" s="5">
        <v>39790</v>
      </c>
      <c r="P374" s="5">
        <v>29614</v>
      </c>
      <c r="Q374">
        <v>4</v>
      </c>
      <c r="R374" t="s">
        <v>41</v>
      </c>
    </row>
    <row r="375" spans="1:18">
      <c r="A375" t="s">
        <v>433</v>
      </c>
      <c r="B375" s="4">
        <v>46169</v>
      </c>
      <c r="C375" t="s">
        <v>36</v>
      </c>
      <c r="D375" t="s">
        <v>396</v>
      </c>
      <c r="E375" t="s">
        <v>404</v>
      </c>
      <c r="F375" t="s">
        <v>61</v>
      </c>
      <c r="G375" t="s">
        <v>40</v>
      </c>
      <c r="H375">
        <v>4</v>
      </c>
      <c r="I375" s="5">
        <v>276385</v>
      </c>
      <c r="J375" s="5">
        <v>37849</v>
      </c>
      <c r="K375" s="5">
        <v>238536</v>
      </c>
      <c r="L375" s="5">
        <v>150328</v>
      </c>
      <c r="M375" s="5">
        <v>19738</v>
      </c>
      <c r="N375" s="5">
        <v>0</v>
      </c>
      <c r="O375" s="5">
        <v>47493</v>
      </c>
      <c r="P375" s="5">
        <v>20977</v>
      </c>
      <c r="Q375">
        <v>1</v>
      </c>
      <c r="R375" t="s">
        <v>41</v>
      </c>
    </row>
    <row r="376" spans="1:18">
      <c r="A376" t="s">
        <v>434</v>
      </c>
      <c r="B376" s="4">
        <v>46152</v>
      </c>
      <c r="C376" t="s">
        <v>36</v>
      </c>
      <c r="D376" t="s">
        <v>396</v>
      </c>
      <c r="E376" t="s">
        <v>399</v>
      </c>
      <c r="F376" t="s">
        <v>51</v>
      </c>
      <c r="G376" t="s">
        <v>40</v>
      </c>
      <c r="H376">
        <v>6</v>
      </c>
      <c r="I376" s="5">
        <v>345227</v>
      </c>
      <c r="J376" s="5">
        <v>37481</v>
      </c>
      <c r="K376" s="5">
        <v>307746</v>
      </c>
      <c r="L376" s="5">
        <v>200003</v>
      </c>
      <c r="M376" s="5">
        <v>18471</v>
      </c>
      <c r="N376" s="5">
        <v>0</v>
      </c>
      <c r="O376" s="5">
        <v>51822</v>
      </c>
      <c r="P376" s="5">
        <v>37450</v>
      </c>
      <c r="Q376">
        <v>3</v>
      </c>
      <c r="R376" t="s">
        <v>41</v>
      </c>
    </row>
    <row r="377" spans="1:18">
      <c r="A377" t="s">
        <v>435</v>
      </c>
      <c r="B377" s="4">
        <v>46119</v>
      </c>
      <c r="C377" t="s">
        <v>36</v>
      </c>
      <c r="D377" t="s">
        <v>396</v>
      </c>
      <c r="E377" t="s">
        <v>404</v>
      </c>
      <c r="F377" t="s">
        <v>61</v>
      </c>
      <c r="G377" t="s">
        <v>40</v>
      </c>
      <c r="H377">
        <v>6</v>
      </c>
      <c r="I377" s="5">
        <v>270486</v>
      </c>
      <c r="J377" s="5">
        <v>40362</v>
      </c>
      <c r="K377" s="5">
        <v>230124</v>
      </c>
      <c r="L377" s="5">
        <v>135668</v>
      </c>
      <c r="M377" s="5">
        <v>16512</v>
      </c>
      <c r="N377" s="5">
        <v>0</v>
      </c>
      <c r="O377" s="5">
        <v>40861</v>
      </c>
      <c r="P377" s="5">
        <v>37083</v>
      </c>
      <c r="Q377">
        <v>3</v>
      </c>
      <c r="R377" t="s">
        <v>41</v>
      </c>
    </row>
    <row r="378" spans="1:18">
      <c r="A378" t="s">
        <v>436</v>
      </c>
      <c r="B378" s="4">
        <v>46144</v>
      </c>
      <c r="C378" t="s">
        <v>36</v>
      </c>
      <c r="D378" t="s">
        <v>396</v>
      </c>
      <c r="E378" t="s">
        <v>397</v>
      </c>
      <c r="F378" t="s">
        <v>61</v>
      </c>
      <c r="G378" t="s">
        <v>43</v>
      </c>
      <c r="H378">
        <v>6</v>
      </c>
      <c r="I378" s="5">
        <v>254969</v>
      </c>
      <c r="J378" s="5">
        <v>26623</v>
      </c>
      <c r="K378" s="5">
        <v>228346</v>
      </c>
      <c r="L378" s="5">
        <v>152557</v>
      </c>
      <c r="M378" s="5">
        <v>16928</v>
      </c>
      <c r="N378" s="5">
        <v>0</v>
      </c>
      <c r="O378" s="5">
        <v>33520</v>
      </c>
      <c r="P378" s="5">
        <v>25341</v>
      </c>
      <c r="Q378">
        <v>3</v>
      </c>
      <c r="R378" t="s">
        <v>41</v>
      </c>
    </row>
    <row r="379" spans="1:18">
      <c r="A379" t="s">
        <v>437</v>
      </c>
      <c r="B379" s="4">
        <v>46193</v>
      </c>
      <c r="C379" t="s">
        <v>36</v>
      </c>
      <c r="D379" t="s">
        <v>396</v>
      </c>
      <c r="E379" t="s">
        <v>397</v>
      </c>
      <c r="F379" t="s">
        <v>61</v>
      </c>
      <c r="G379" t="s">
        <v>43</v>
      </c>
      <c r="H379">
        <v>6</v>
      </c>
      <c r="I379" s="5">
        <v>357366</v>
      </c>
      <c r="J379" s="5">
        <v>29394</v>
      </c>
      <c r="K379" s="5">
        <v>327972</v>
      </c>
      <c r="L379" s="5">
        <v>204114</v>
      </c>
      <c r="M379" s="5">
        <v>19670</v>
      </c>
      <c r="N379" s="5">
        <v>16240</v>
      </c>
      <c r="O379" s="5">
        <v>56631</v>
      </c>
      <c r="P379" s="5">
        <v>31317</v>
      </c>
      <c r="Q379">
        <v>2</v>
      </c>
      <c r="R379" t="s">
        <v>53</v>
      </c>
    </row>
    <row r="380" spans="1:18">
      <c r="A380" t="s">
        <v>438</v>
      </c>
      <c r="B380" s="4">
        <v>46184</v>
      </c>
      <c r="C380" t="s">
        <v>36</v>
      </c>
      <c r="D380" t="s">
        <v>396</v>
      </c>
      <c r="E380" t="s">
        <v>399</v>
      </c>
      <c r="F380" t="s">
        <v>46</v>
      </c>
      <c r="G380" t="s">
        <v>40</v>
      </c>
      <c r="H380">
        <v>1</v>
      </c>
      <c r="I380" s="5">
        <v>245826</v>
      </c>
      <c r="J380" s="5">
        <v>33097</v>
      </c>
      <c r="K380" s="5">
        <v>212729</v>
      </c>
      <c r="L380" s="5">
        <v>122092</v>
      </c>
      <c r="M380" s="5">
        <v>14076</v>
      </c>
      <c r="N380" s="5">
        <v>0</v>
      </c>
      <c r="O380" s="5">
        <v>40863</v>
      </c>
      <c r="P380" s="5">
        <v>35698</v>
      </c>
      <c r="Q380">
        <v>5</v>
      </c>
      <c r="R380" t="s">
        <v>41</v>
      </c>
    </row>
    <row r="381" spans="1:18">
      <c r="A381" t="s">
        <v>439</v>
      </c>
      <c r="B381" s="4">
        <v>46169</v>
      </c>
      <c r="C381" t="s">
        <v>36</v>
      </c>
      <c r="D381" t="s">
        <v>396</v>
      </c>
      <c r="E381" t="s">
        <v>399</v>
      </c>
      <c r="F381" t="s">
        <v>49</v>
      </c>
      <c r="G381" t="s">
        <v>43</v>
      </c>
      <c r="H381">
        <v>2</v>
      </c>
      <c r="I381" s="5">
        <v>309279</v>
      </c>
      <c r="J381" s="5">
        <v>30223</v>
      </c>
      <c r="K381" s="5">
        <v>279056</v>
      </c>
      <c r="L381" s="5">
        <v>168033</v>
      </c>
      <c r="M381" s="5">
        <v>23293</v>
      </c>
      <c r="N381" s="5">
        <v>0</v>
      </c>
      <c r="O381" s="5">
        <v>51453</v>
      </c>
      <c r="P381" s="5">
        <v>36277</v>
      </c>
      <c r="Q381">
        <v>2</v>
      </c>
      <c r="R381" t="s">
        <v>41</v>
      </c>
    </row>
    <row r="382" spans="1:18">
      <c r="A382" t="s">
        <v>440</v>
      </c>
      <c r="B382" s="4">
        <v>46189</v>
      </c>
      <c r="C382" t="s">
        <v>36</v>
      </c>
      <c r="D382" t="s">
        <v>396</v>
      </c>
      <c r="E382" t="s">
        <v>404</v>
      </c>
      <c r="F382" t="s">
        <v>61</v>
      </c>
      <c r="G382" t="s">
        <v>40</v>
      </c>
      <c r="H382">
        <v>4</v>
      </c>
      <c r="I382" s="5">
        <v>203721</v>
      </c>
      <c r="J382" s="5">
        <v>14251</v>
      </c>
      <c r="K382" s="5">
        <v>189470</v>
      </c>
      <c r="L382" s="5">
        <v>109955</v>
      </c>
      <c r="M382" s="5">
        <v>12208</v>
      </c>
      <c r="N382" s="5">
        <v>0</v>
      </c>
      <c r="O382" s="5">
        <v>32894</v>
      </c>
      <c r="P382" s="5">
        <v>34413</v>
      </c>
      <c r="Q382">
        <v>2</v>
      </c>
      <c r="R382" t="s">
        <v>41</v>
      </c>
    </row>
    <row r="383" spans="1:18">
      <c r="A383" t="s">
        <v>441</v>
      </c>
      <c r="B383" s="4">
        <v>46161</v>
      </c>
      <c r="C383" t="s">
        <v>36</v>
      </c>
      <c r="D383" t="s">
        <v>396</v>
      </c>
      <c r="E383" t="s">
        <v>404</v>
      </c>
      <c r="F383" t="s">
        <v>61</v>
      </c>
      <c r="G383" t="s">
        <v>43</v>
      </c>
      <c r="H383">
        <v>5</v>
      </c>
      <c r="I383" s="5">
        <v>176313</v>
      </c>
      <c r="J383" s="5">
        <v>18029</v>
      </c>
      <c r="K383" s="5">
        <v>158284</v>
      </c>
      <c r="L383" s="5">
        <v>100607</v>
      </c>
      <c r="M383" s="5">
        <v>8469</v>
      </c>
      <c r="N383" s="5">
        <v>0</v>
      </c>
      <c r="O383" s="5">
        <v>32020</v>
      </c>
      <c r="P383" s="5">
        <v>17188</v>
      </c>
      <c r="Q383">
        <v>4</v>
      </c>
      <c r="R383" t="s">
        <v>41</v>
      </c>
    </row>
    <row r="384" spans="1:18">
      <c r="A384" t="s">
        <v>442</v>
      </c>
      <c r="B384" s="4">
        <v>46180</v>
      </c>
      <c r="C384" t="s">
        <v>36</v>
      </c>
      <c r="D384" t="s">
        <v>396</v>
      </c>
      <c r="E384" t="s">
        <v>402</v>
      </c>
      <c r="F384" t="s">
        <v>49</v>
      </c>
      <c r="G384" t="s">
        <v>40</v>
      </c>
      <c r="H384">
        <v>5</v>
      </c>
      <c r="I384" s="5">
        <v>314185</v>
      </c>
      <c r="J384" s="5">
        <v>35797</v>
      </c>
      <c r="K384" s="5">
        <v>278388</v>
      </c>
      <c r="L384" s="5">
        <v>192322</v>
      </c>
      <c r="M384" s="5">
        <v>21218</v>
      </c>
      <c r="N384" s="5">
        <v>0</v>
      </c>
      <c r="O384" s="5">
        <v>46620</v>
      </c>
      <c r="P384" s="5">
        <v>18228</v>
      </c>
      <c r="Q384">
        <v>5</v>
      </c>
      <c r="R384" t="s">
        <v>41</v>
      </c>
    </row>
    <row r="385" spans="1:18">
      <c r="A385" t="s">
        <v>443</v>
      </c>
      <c r="B385" s="4">
        <v>46118</v>
      </c>
      <c r="C385" t="s">
        <v>36</v>
      </c>
      <c r="D385" t="s">
        <v>396</v>
      </c>
      <c r="E385" t="s">
        <v>404</v>
      </c>
      <c r="F385" t="s">
        <v>51</v>
      </c>
      <c r="G385" t="s">
        <v>40</v>
      </c>
      <c r="H385">
        <v>2</v>
      </c>
      <c r="I385" s="5">
        <v>300716</v>
      </c>
      <c r="J385" s="5">
        <v>30845</v>
      </c>
      <c r="K385" s="5">
        <v>269871</v>
      </c>
      <c r="L385" s="5">
        <v>171412</v>
      </c>
      <c r="M385" s="5">
        <v>15437</v>
      </c>
      <c r="N385" s="5">
        <v>0</v>
      </c>
      <c r="O385" s="5">
        <v>54923</v>
      </c>
      <c r="P385" s="5">
        <v>28099</v>
      </c>
      <c r="Q385">
        <v>5</v>
      </c>
      <c r="R385" t="s">
        <v>41</v>
      </c>
    </row>
    <row r="386" spans="1:18">
      <c r="A386" t="s">
        <v>444</v>
      </c>
      <c r="B386" s="4">
        <v>46175</v>
      </c>
      <c r="C386" t="s">
        <v>36</v>
      </c>
      <c r="D386" t="s">
        <v>396</v>
      </c>
      <c r="E386" t="s">
        <v>399</v>
      </c>
      <c r="F386" t="s">
        <v>61</v>
      </c>
      <c r="G386" t="s">
        <v>43</v>
      </c>
      <c r="H386">
        <v>2</v>
      </c>
      <c r="I386" s="5">
        <v>198473</v>
      </c>
      <c r="J386" s="5">
        <v>25376</v>
      </c>
      <c r="K386" s="5">
        <v>173097</v>
      </c>
      <c r="L386" s="5">
        <v>103817</v>
      </c>
      <c r="M386" s="5">
        <v>13024</v>
      </c>
      <c r="N386" s="5">
        <v>0</v>
      </c>
      <c r="O386" s="5">
        <v>35192</v>
      </c>
      <c r="P386" s="5">
        <v>21064</v>
      </c>
      <c r="Q386">
        <v>4</v>
      </c>
      <c r="R386" t="s">
        <v>41</v>
      </c>
    </row>
    <row r="387" spans="1:18">
      <c r="A387" t="s">
        <v>445</v>
      </c>
      <c r="B387" s="4">
        <v>46123</v>
      </c>
      <c r="C387" t="s">
        <v>36</v>
      </c>
      <c r="D387" t="s">
        <v>396</v>
      </c>
      <c r="E387" t="s">
        <v>402</v>
      </c>
      <c r="F387" t="s">
        <v>61</v>
      </c>
      <c r="G387" t="s">
        <v>43</v>
      </c>
      <c r="H387">
        <v>5</v>
      </c>
      <c r="I387" s="5">
        <v>234421</v>
      </c>
      <c r="J387" s="5">
        <v>23312</v>
      </c>
      <c r="K387" s="5">
        <v>211109</v>
      </c>
      <c r="L387" s="5">
        <v>131380</v>
      </c>
      <c r="M387" s="5">
        <v>11757</v>
      </c>
      <c r="N387" s="5">
        <v>0</v>
      </c>
      <c r="O387" s="5">
        <v>28890</v>
      </c>
      <c r="P387" s="5">
        <v>39082</v>
      </c>
      <c r="Q387">
        <v>3</v>
      </c>
      <c r="R387" t="s">
        <v>41</v>
      </c>
    </row>
    <row r="388" spans="1:18">
      <c r="A388" t="s">
        <v>446</v>
      </c>
      <c r="B388" s="4">
        <v>46180</v>
      </c>
      <c r="C388" t="s">
        <v>36</v>
      </c>
      <c r="D388" t="s">
        <v>396</v>
      </c>
      <c r="E388" t="s">
        <v>397</v>
      </c>
      <c r="F388" t="s">
        <v>61</v>
      </c>
      <c r="G388" t="s">
        <v>43</v>
      </c>
      <c r="H388">
        <v>1</v>
      </c>
      <c r="I388" s="5">
        <v>247601</v>
      </c>
      <c r="J388" s="5">
        <v>26489</v>
      </c>
      <c r="K388" s="5">
        <v>221112</v>
      </c>
      <c r="L388" s="5">
        <v>149731</v>
      </c>
      <c r="M388" s="5">
        <v>18224</v>
      </c>
      <c r="N388" s="5">
        <v>10858</v>
      </c>
      <c r="O388" s="5">
        <v>19775</v>
      </c>
      <c r="P388" s="5">
        <v>22524</v>
      </c>
      <c r="Q388">
        <v>1</v>
      </c>
      <c r="R388" t="s">
        <v>53</v>
      </c>
    </row>
    <row r="389" spans="1:18">
      <c r="A389" t="s">
        <v>447</v>
      </c>
      <c r="B389" s="4">
        <v>46137</v>
      </c>
      <c r="C389" t="s">
        <v>36</v>
      </c>
      <c r="D389" t="s">
        <v>396</v>
      </c>
      <c r="E389" t="s">
        <v>404</v>
      </c>
      <c r="F389" t="s">
        <v>49</v>
      </c>
      <c r="G389" t="s">
        <v>40</v>
      </c>
      <c r="H389">
        <v>5</v>
      </c>
      <c r="I389" s="5">
        <v>243383</v>
      </c>
      <c r="J389" s="5">
        <v>47136</v>
      </c>
      <c r="K389" s="5">
        <v>196247</v>
      </c>
      <c r="L389" s="5">
        <v>108130</v>
      </c>
      <c r="M389" s="5">
        <v>13973</v>
      </c>
      <c r="N389" s="5">
        <v>0</v>
      </c>
      <c r="O389" s="5">
        <v>34895</v>
      </c>
      <c r="P389" s="5">
        <v>39249</v>
      </c>
      <c r="Q389">
        <v>2</v>
      </c>
      <c r="R389" t="s">
        <v>41</v>
      </c>
    </row>
    <row r="390" spans="1:18">
      <c r="A390" t="s">
        <v>448</v>
      </c>
      <c r="B390" s="4">
        <v>46194</v>
      </c>
      <c r="C390" t="s">
        <v>36</v>
      </c>
      <c r="D390" t="s">
        <v>396</v>
      </c>
      <c r="E390" t="s">
        <v>399</v>
      </c>
      <c r="F390" t="s">
        <v>46</v>
      </c>
      <c r="G390" t="s">
        <v>43</v>
      </c>
      <c r="H390">
        <v>1</v>
      </c>
      <c r="I390" s="5">
        <v>242194</v>
      </c>
      <c r="J390" s="5">
        <v>22886</v>
      </c>
      <c r="K390" s="5">
        <v>219308</v>
      </c>
      <c r="L390" s="5">
        <v>144387</v>
      </c>
      <c r="M390" s="5">
        <v>14798</v>
      </c>
      <c r="N390" s="5">
        <v>0</v>
      </c>
      <c r="O390" s="5">
        <v>33994</v>
      </c>
      <c r="P390" s="5">
        <v>26129</v>
      </c>
      <c r="Q390">
        <v>3</v>
      </c>
      <c r="R390" t="s">
        <v>41</v>
      </c>
    </row>
    <row r="391" spans="1:18">
      <c r="A391" t="s">
        <v>449</v>
      </c>
      <c r="B391" s="4">
        <v>46189</v>
      </c>
      <c r="C391" t="s">
        <v>36</v>
      </c>
      <c r="D391" t="s">
        <v>396</v>
      </c>
      <c r="E391" t="s">
        <v>402</v>
      </c>
      <c r="F391" t="s">
        <v>39</v>
      </c>
      <c r="G391" t="s">
        <v>43</v>
      </c>
      <c r="H391">
        <v>5</v>
      </c>
      <c r="I391" s="5">
        <v>289464</v>
      </c>
      <c r="J391" s="5">
        <v>35031</v>
      </c>
      <c r="K391" s="5">
        <v>254433</v>
      </c>
      <c r="L391" s="5">
        <v>168020</v>
      </c>
      <c r="M391" s="5">
        <v>17244</v>
      </c>
      <c r="N391" s="5">
        <v>0</v>
      </c>
      <c r="O391" s="5">
        <v>49355</v>
      </c>
      <c r="P391" s="5">
        <v>19814</v>
      </c>
      <c r="Q391">
        <v>4</v>
      </c>
      <c r="R391" t="s">
        <v>41</v>
      </c>
    </row>
    <row r="392" spans="1:18">
      <c r="A392" t="s">
        <v>450</v>
      </c>
      <c r="B392" s="4">
        <v>46154</v>
      </c>
      <c r="C392" t="s">
        <v>36</v>
      </c>
      <c r="D392" t="s">
        <v>396</v>
      </c>
      <c r="E392" t="s">
        <v>404</v>
      </c>
      <c r="F392" t="s">
        <v>49</v>
      </c>
      <c r="G392" t="s">
        <v>40</v>
      </c>
      <c r="H392">
        <v>4</v>
      </c>
      <c r="I392" s="5">
        <v>343389</v>
      </c>
      <c r="J392" s="5">
        <v>48406</v>
      </c>
      <c r="K392" s="5">
        <v>294983</v>
      </c>
      <c r="L392" s="5">
        <v>185649</v>
      </c>
      <c r="M392" s="5">
        <v>23566</v>
      </c>
      <c r="N392" s="5">
        <v>0</v>
      </c>
      <c r="O392" s="5">
        <v>50997</v>
      </c>
      <c r="P392" s="5">
        <v>34771</v>
      </c>
      <c r="Q392">
        <v>3</v>
      </c>
      <c r="R392" t="s">
        <v>41</v>
      </c>
    </row>
    <row r="393" spans="1:18">
      <c r="A393" t="s">
        <v>451</v>
      </c>
      <c r="B393" s="4">
        <v>46163</v>
      </c>
      <c r="C393" t="s">
        <v>36</v>
      </c>
      <c r="D393" t="s">
        <v>396</v>
      </c>
      <c r="E393" t="s">
        <v>397</v>
      </c>
      <c r="F393" t="s">
        <v>61</v>
      </c>
      <c r="G393" t="s">
        <v>43</v>
      </c>
      <c r="H393">
        <v>5</v>
      </c>
      <c r="I393" s="5">
        <v>324120</v>
      </c>
      <c r="J393" s="5">
        <v>38205</v>
      </c>
      <c r="K393" s="5">
        <v>285915</v>
      </c>
      <c r="L393" s="5">
        <v>174898</v>
      </c>
      <c r="M393" s="5">
        <v>24501</v>
      </c>
      <c r="N393" s="5">
        <v>0</v>
      </c>
      <c r="O393" s="5">
        <v>49437</v>
      </c>
      <c r="P393" s="5">
        <v>37079</v>
      </c>
      <c r="Q393">
        <v>1</v>
      </c>
      <c r="R393" t="s">
        <v>41</v>
      </c>
    </row>
    <row r="394" spans="1:18">
      <c r="A394" t="s">
        <v>452</v>
      </c>
      <c r="B394" s="4">
        <v>46140</v>
      </c>
      <c r="C394" t="s">
        <v>36</v>
      </c>
      <c r="D394" t="s">
        <v>396</v>
      </c>
      <c r="E394" t="s">
        <v>399</v>
      </c>
      <c r="F394" t="s">
        <v>61</v>
      </c>
      <c r="G394" t="s">
        <v>43</v>
      </c>
      <c r="H394">
        <v>5</v>
      </c>
      <c r="I394" s="5">
        <v>279816</v>
      </c>
      <c r="J394" s="5">
        <v>36028</v>
      </c>
      <c r="K394" s="5">
        <v>243788</v>
      </c>
      <c r="L394" s="5">
        <v>161747</v>
      </c>
      <c r="M394" s="5">
        <v>12823</v>
      </c>
      <c r="N394" s="5">
        <v>0</v>
      </c>
      <c r="O394" s="5">
        <v>38219</v>
      </c>
      <c r="P394" s="5">
        <v>30999</v>
      </c>
      <c r="Q394">
        <v>3</v>
      </c>
      <c r="R394" t="s">
        <v>41</v>
      </c>
    </row>
    <row r="395" spans="1:18">
      <c r="A395" t="s">
        <v>453</v>
      </c>
      <c r="B395" s="4">
        <v>46132</v>
      </c>
      <c r="C395" t="s">
        <v>36</v>
      </c>
      <c r="D395" t="s">
        <v>396</v>
      </c>
      <c r="E395" t="s">
        <v>404</v>
      </c>
      <c r="F395" t="s">
        <v>39</v>
      </c>
      <c r="G395" t="s">
        <v>43</v>
      </c>
      <c r="H395">
        <v>5</v>
      </c>
      <c r="I395" s="5">
        <v>155772</v>
      </c>
      <c r="J395" s="5">
        <v>10063</v>
      </c>
      <c r="K395" s="5">
        <v>145709</v>
      </c>
      <c r="L395" s="5">
        <v>93582</v>
      </c>
      <c r="M395" s="5">
        <v>8159</v>
      </c>
      <c r="N395" s="5">
        <v>0</v>
      </c>
      <c r="O395" s="5">
        <v>26201</v>
      </c>
      <c r="P395" s="5">
        <v>17767</v>
      </c>
      <c r="Q395">
        <v>3</v>
      </c>
      <c r="R395" t="s">
        <v>41</v>
      </c>
    </row>
    <row r="396" spans="1:18">
      <c r="A396" t="s">
        <v>454</v>
      </c>
      <c r="B396" s="4">
        <v>46140</v>
      </c>
      <c r="C396" t="s">
        <v>36</v>
      </c>
      <c r="D396" t="s">
        <v>396</v>
      </c>
      <c r="E396" t="s">
        <v>397</v>
      </c>
      <c r="F396" t="s">
        <v>39</v>
      </c>
      <c r="G396" t="s">
        <v>43</v>
      </c>
      <c r="H396">
        <v>2</v>
      </c>
      <c r="I396" s="5">
        <v>249363</v>
      </c>
      <c r="J396" s="5">
        <v>27436</v>
      </c>
      <c r="K396" s="5">
        <v>221927</v>
      </c>
      <c r="L396" s="5">
        <v>146596</v>
      </c>
      <c r="M396" s="5">
        <v>17171</v>
      </c>
      <c r="N396" s="5">
        <v>0</v>
      </c>
      <c r="O396" s="5">
        <v>43575</v>
      </c>
      <c r="P396" s="5">
        <v>14585</v>
      </c>
      <c r="Q396">
        <v>4</v>
      </c>
      <c r="R396" t="s">
        <v>41</v>
      </c>
    </row>
    <row r="397" spans="1:18">
      <c r="A397" t="s">
        <v>455</v>
      </c>
      <c r="B397" s="4">
        <v>46117</v>
      </c>
      <c r="C397" t="s">
        <v>36</v>
      </c>
      <c r="D397" t="s">
        <v>396</v>
      </c>
      <c r="E397" t="s">
        <v>402</v>
      </c>
      <c r="F397" t="s">
        <v>61</v>
      </c>
      <c r="G397" t="s">
        <v>40</v>
      </c>
      <c r="H397">
        <v>3</v>
      </c>
      <c r="I397" s="5">
        <v>214631</v>
      </c>
      <c r="J397" s="5">
        <v>7566</v>
      </c>
      <c r="K397" s="5">
        <v>207065</v>
      </c>
      <c r="L397" s="5">
        <v>129225</v>
      </c>
      <c r="M397" s="5">
        <v>16131</v>
      </c>
      <c r="N397" s="5">
        <v>9682</v>
      </c>
      <c r="O397" s="5">
        <v>18826</v>
      </c>
      <c r="P397" s="5">
        <v>33201</v>
      </c>
      <c r="Q397">
        <v>3</v>
      </c>
      <c r="R397" t="s">
        <v>53</v>
      </c>
    </row>
    <row r="398" spans="1:18">
      <c r="A398" t="s">
        <v>456</v>
      </c>
      <c r="B398" s="4">
        <v>46142</v>
      </c>
      <c r="C398" t="s">
        <v>36</v>
      </c>
      <c r="D398" t="s">
        <v>396</v>
      </c>
      <c r="E398" t="s">
        <v>397</v>
      </c>
      <c r="F398" t="s">
        <v>46</v>
      </c>
      <c r="G398" t="s">
        <v>40</v>
      </c>
      <c r="H398">
        <v>3</v>
      </c>
      <c r="I398" s="5">
        <v>160282</v>
      </c>
      <c r="J398" s="5">
        <v>11662</v>
      </c>
      <c r="K398" s="5">
        <v>148620</v>
      </c>
      <c r="L398" s="5">
        <v>85306</v>
      </c>
      <c r="M398" s="5">
        <v>11261</v>
      </c>
      <c r="N398" s="5">
        <v>0</v>
      </c>
      <c r="O398" s="5">
        <v>22329</v>
      </c>
      <c r="P398" s="5">
        <v>29724</v>
      </c>
      <c r="Q398">
        <v>5</v>
      </c>
      <c r="R398" t="s">
        <v>41</v>
      </c>
    </row>
    <row r="399" spans="1:18">
      <c r="A399" t="s">
        <v>457</v>
      </c>
      <c r="B399" s="4">
        <v>46132</v>
      </c>
      <c r="C399" t="s">
        <v>36</v>
      </c>
      <c r="D399" t="s">
        <v>396</v>
      </c>
      <c r="E399" t="s">
        <v>397</v>
      </c>
      <c r="F399" t="s">
        <v>46</v>
      </c>
      <c r="G399" t="s">
        <v>43</v>
      </c>
      <c r="H399">
        <v>5</v>
      </c>
      <c r="I399" s="5">
        <v>344468</v>
      </c>
      <c r="J399" s="5">
        <v>27441</v>
      </c>
      <c r="K399" s="5">
        <v>317027</v>
      </c>
      <c r="L399" s="5">
        <v>214549</v>
      </c>
      <c r="M399" s="5">
        <v>21451</v>
      </c>
      <c r="N399" s="5">
        <v>0</v>
      </c>
      <c r="O399" s="5">
        <v>57565</v>
      </c>
      <c r="P399" s="5">
        <v>23462</v>
      </c>
      <c r="Q399">
        <v>3</v>
      </c>
      <c r="R399" t="s">
        <v>41</v>
      </c>
    </row>
    <row r="400" spans="1:18">
      <c r="A400" t="s">
        <v>458</v>
      </c>
      <c r="B400" s="4">
        <v>46156</v>
      </c>
      <c r="C400" t="s">
        <v>36</v>
      </c>
      <c r="D400" t="s">
        <v>396</v>
      </c>
      <c r="E400" t="s">
        <v>397</v>
      </c>
      <c r="F400" t="s">
        <v>46</v>
      </c>
      <c r="G400" t="s">
        <v>40</v>
      </c>
      <c r="H400">
        <v>5</v>
      </c>
      <c r="I400" s="5">
        <v>280805</v>
      </c>
      <c r="J400" s="5">
        <v>27087</v>
      </c>
      <c r="K400" s="5">
        <v>253718</v>
      </c>
      <c r="L400" s="5">
        <v>164566</v>
      </c>
      <c r="M400" s="5">
        <v>20936</v>
      </c>
      <c r="N400" s="5">
        <v>0</v>
      </c>
      <c r="O400" s="5">
        <v>43420</v>
      </c>
      <c r="P400" s="5">
        <v>24796</v>
      </c>
      <c r="Q400">
        <v>3</v>
      </c>
      <c r="R400" t="s">
        <v>41</v>
      </c>
    </row>
    <row r="401" spans="1:18">
      <c r="A401" t="s">
        <v>459</v>
      </c>
      <c r="B401" s="4">
        <v>46130</v>
      </c>
      <c r="C401" t="s">
        <v>36</v>
      </c>
      <c r="D401" t="s">
        <v>396</v>
      </c>
      <c r="E401" t="s">
        <v>402</v>
      </c>
      <c r="F401" t="s">
        <v>49</v>
      </c>
      <c r="G401" t="s">
        <v>40</v>
      </c>
      <c r="H401">
        <v>4</v>
      </c>
      <c r="I401" s="5">
        <v>356127</v>
      </c>
      <c r="J401" s="5">
        <v>34937</v>
      </c>
      <c r="K401" s="5">
        <v>321190</v>
      </c>
      <c r="L401" s="5">
        <v>219261</v>
      </c>
      <c r="M401" s="5">
        <v>27500</v>
      </c>
      <c r="N401" s="5">
        <v>0</v>
      </c>
      <c r="O401" s="5">
        <v>55600</v>
      </c>
      <c r="P401" s="5">
        <v>18829</v>
      </c>
      <c r="Q401">
        <v>4</v>
      </c>
      <c r="R401" t="s">
        <v>41</v>
      </c>
    </row>
    <row r="402" spans="1:18">
      <c r="A402" t="s">
        <v>460</v>
      </c>
      <c r="B402" s="4">
        <v>46144</v>
      </c>
      <c r="C402" t="s">
        <v>36</v>
      </c>
      <c r="D402" t="s">
        <v>396</v>
      </c>
      <c r="E402" t="s">
        <v>397</v>
      </c>
      <c r="F402" t="s">
        <v>39</v>
      </c>
      <c r="G402" t="s">
        <v>43</v>
      </c>
      <c r="H402">
        <v>3</v>
      </c>
      <c r="I402" s="5">
        <v>292058</v>
      </c>
      <c r="J402" s="5">
        <v>21597</v>
      </c>
      <c r="K402" s="5">
        <v>270461</v>
      </c>
      <c r="L402" s="5">
        <v>173382</v>
      </c>
      <c r="M402" s="5">
        <v>23706</v>
      </c>
      <c r="N402" s="5">
        <v>0</v>
      </c>
      <c r="O402" s="5">
        <v>40258</v>
      </c>
      <c r="P402" s="5">
        <v>33115</v>
      </c>
      <c r="Q402">
        <v>4</v>
      </c>
      <c r="R402" t="s">
        <v>41</v>
      </c>
    </row>
    <row r="403" spans="1:18">
      <c r="A403" t="s">
        <v>461</v>
      </c>
      <c r="B403" s="4">
        <v>46137</v>
      </c>
      <c r="C403" t="s">
        <v>36</v>
      </c>
      <c r="D403" t="s">
        <v>396</v>
      </c>
      <c r="E403" t="s">
        <v>399</v>
      </c>
      <c r="F403" t="s">
        <v>39</v>
      </c>
      <c r="G403" t="s">
        <v>40</v>
      </c>
      <c r="H403">
        <v>3</v>
      </c>
      <c r="I403" s="5">
        <v>236957</v>
      </c>
      <c r="J403" s="5">
        <v>21734</v>
      </c>
      <c r="K403" s="5">
        <v>215223</v>
      </c>
      <c r="L403" s="5">
        <v>133574</v>
      </c>
      <c r="M403" s="5">
        <v>14815</v>
      </c>
      <c r="N403" s="5">
        <v>0</v>
      </c>
      <c r="O403" s="5">
        <v>45162</v>
      </c>
      <c r="P403" s="5">
        <v>21672</v>
      </c>
      <c r="Q403">
        <v>2</v>
      </c>
      <c r="R403" t="s">
        <v>41</v>
      </c>
    </row>
    <row r="404" spans="1:18">
      <c r="A404" t="s">
        <v>462</v>
      </c>
      <c r="B404" s="4">
        <v>46169</v>
      </c>
      <c r="C404" t="s">
        <v>36</v>
      </c>
      <c r="D404" t="s">
        <v>396</v>
      </c>
      <c r="E404" t="s">
        <v>397</v>
      </c>
      <c r="F404" t="s">
        <v>51</v>
      </c>
      <c r="G404" t="s">
        <v>40</v>
      </c>
      <c r="H404">
        <v>6</v>
      </c>
      <c r="I404" s="5">
        <v>214971</v>
      </c>
      <c r="J404" s="5">
        <v>27038</v>
      </c>
      <c r="K404" s="5">
        <v>187933</v>
      </c>
      <c r="L404" s="5">
        <v>113353</v>
      </c>
      <c r="M404" s="5">
        <v>13848</v>
      </c>
      <c r="N404" s="5">
        <v>0</v>
      </c>
      <c r="O404" s="5">
        <v>23146</v>
      </c>
      <c r="P404" s="5">
        <v>37586</v>
      </c>
      <c r="Q404">
        <v>4</v>
      </c>
      <c r="R404" t="s">
        <v>41</v>
      </c>
    </row>
    <row r="405" spans="1:18">
      <c r="A405" t="s">
        <v>463</v>
      </c>
      <c r="B405" s="4">
        <v>46131</v>
      </c>
      <c r="C405" t="s">
        <v>36</v>
      </c>
      <c r="D405" t="s">
        <v>396</v>
      </c>
      <c r="E405" t="s">
        <v>399</v>
      </c>
      <c r="F405" t="s">
        <v>61</v>
      </c>
      <c r="G405" t="s">
        <v>43</v>
      </c>
      <c r="H405">
        <v>6</v>
      </c>
      <c r="I405" s="5">
        <v>168894</v>
      </c>
      <c r="J405" s="5">
        <v>11592</v>
      </c>
      <c r="K405" s="5">
        <v>157302</v>
      </c>
      <c r="L405" s="5">
        <v>98940</v>
      </c>
      <c r="M405" s="5">
        <v>8432</v>
      </c>
      <c r="N405" s="5">
        <v>8885</v>
      </c>
      <c r="O405" s="5">
        <v>14487</v>
      </c>
      <c r="P405" s="5">
        <v>26558</v>
      </c>
      <c r="Q405">
        <v>5</v>
      </c>
      <c r="R405" t="s">
        <v>53</v>
      </c>
    </row>
    <row r="406" spans="1:18">
      <c r="A406" t="s">
        <v>464</v>
      </c>
      <c r="B406" s="4">
        <v>46140</v>
      </c>
      <c r="C406" t="s">
        <v>36</v>
      </c>
      <c r="D406" t="s">
        <v>396</v>
      </c>
      <c r="E406" t="s">
        <v>404</v>
      </c>
      <c r="F406" t="s">
        <v>49</v>
      </c>
      <c r="G406" t="s">
        <v>43</v>
      </c>
      <c r="H406">
        <v>5</v>
      </c>
      <c r="I406" s="5">
        <v>245598</v>
      </c>
      <c r="J406" s="5">
        <v>29469</v>
      </c>
      <c r="K406" s="5">
        <v>216129</v>
      </c>
      <c r="L406" s="5">
        <v>138150</v>
      </c>
      <c r="M406" s="5">
        <v>14012</v>
      </c>
      <c r="N406" s="5">
        <v>0</v>
      </c>
      <c r="O406" s="5">
        <v>39074</v>
      </c>
      <c r="P406" s="5">
        <v>24893</v>
      </c>
      <c r="Q406">
        <v>2</v>
      </c>
      <c r="R406" t="s">
        <v>41</v>
      </c>
    </row>
    <row r="407" spans="1:18">
      <c r="A407" t="s">
        <v>465</v>
      </c>
      <c r="B407" s="4">
        <v>46197</v>
      </c>
      <c r="C407" t="s">
        <v>36</v>
      </c>
      <c r="D407" t="s">
        <v>396</v>
      </c>
      <c r="E407" t="s">
        <v>397</v>
      </c>
      <c r="F407" t="s">
        <v>39</v>
      </c>
      <c r="G407" t="s">
        <v>40</v>
      </c>
      <c r="H407">
        <v>1</v>
      </c>
      <c r="I407" s="5">
        <v>130161</v>
      </c>
      <c r="J407" s="5">
        <v>6988</v>
      </c>
      <c r="K407" s="5">
        <v>123173</v>
      </c>
      <c r="L407" s="5">
        <v>69875</v>
      </c>
      <c r="M407" s="5">
        <v>8871</v>
      </c>
      <c r="N407" s="5">
        <v>5378</v>
      </c>
      <c r="O407" s="5">
        <v>16747</v>
      </c>
      <c r="P407" s="5">
        <v>22302</v>
      </c>
      <c r="Q407">
        <v>3</v>
      </c>
      <c r="R407" t="s">
        <v>53</v>
      </c>
    </row>
    <row r="408" spans="1:18">
      <c r="A408" t="s">
        <v>466</v>
      </c>
      <c r="B408" s="4">
        <v>46114</v>
      </c>
      <c r="C408" t="s">
        <v>36</v>
      </c>
      <c r="D408" t="s">
        <v>396</v>
      </c>
      <c r="E408" t="s">
        <v>397</v>
      </c>
      <c r="F408" t="s">
        <v>46</v>
      </c>
      <c r="G408" t="s">
        <v>43</v>
      </c>
      <c r="H408">
        <v>6</v>
      </c>
      <c r="I408" s="5">
        <v>210676</v>
      </c>
      <c r="J408" s="5">
        <v>20415</v>
      </c>
      <c r="K408" s="5">
        <v>190261</v>
      </c>
      <c r="L408" s="5">
        <v>114985</v>
      </c>
      <c r="M408" s="5">
        <v>9710</v>
      </c>
      <c r="N408" s="5">
        <v>0</v>
      </c>
      <c r="O408" s="5">
        <v>31616</v>
      </c>
      <c r="P408" s="5">
        <v>33950</v>
      </c>
      <c r="Q408">
        <v>6</v>
      </c>
      <c r="R408" t="s">
        <v>41</v>
      </c>
    </row>
    <row r="409" spans="1:18">
      <c r="A409" t="s">
        <v>467</v>
      </c>
      <c r="B409" s="4">
        <v>46196</v>
      </c>
      <c r="C409" t="s">
        <v>36</v>
      </c>
      <c r="D409" t="s">
        <v>396</v>
      </c>
      <c r="E409" t="s">
        <v>402</v>
      </c>
      <c r="F409" t="s">
        <v>51</v>
      </c>
      <c r="G409" t="s">
        <v>43</v>
      </c>
      <c r="H409">
        <v>5</v>
      </c>
      <c r="I409" s="5">
        <v>138245</v>
      </c>
      <c r="J409" s="5">
        <v>19460</v>
      </c>
      <c r="K409" s="5">
        <v>118785</v>
      </c>
      <c r="L409" s="5">
        <v>72010</v>
      </c>
      <c r="M409" s="5">
        <v>5774</v>
      </c>
      <c r="N409" s="5">
        <v>0</v>
      </c>
      <c r="O409" s="5">
        <v>17244</v>
      </c>
      <c r="P409" s="5">
        <v>23757</v>
      </c>
      <c r="Q409">
        <v>2</v>
      </c>
      <c r="R409" t="s">
        <v>41</v>
      </c>
    </row>
    <row r="410" spans="1:18">
      <c r="A410" t="s">
        <v>468</v>
      </c>
      <c r="B410" s="4">
        <v>46136</v>
      </c>
      <c r="C410" t="s">
        <v>36</v>
      </c>
      <c r="D410" t="s">
        <v>396</v>
      </c>
      <c r="E410" t="s">
        <v>404</v>
      </c>
      <c r="F410" t="s">
        <v>49</v>
      </c>
      <c r="G410" t="s">
        <v>43</v>
      </c>
      <c r="H410">
        <v>5</v>
      </c>
      <c r="I410" s="5">
        <v>176935</v>
      </c>
      <c r="J410" s="5">
        <v>22269</v>
      </c>
      <c r="K410" s="5">
        <v>154666</v>
      </c>
      <c r="L410" s="5">
        <v>90960</v>
      </c>
      <c r="M410" s="5">
        <v>12156</v>
      </c>
      <c r="N410" s="5">
        <v>0</v>
      </c>
      <c r="O410" s="5">
        <v>25289</v>
      </c>
      <c r="P410" s="5">
        <v>26261</v>
      </c>
      <c r="Q410">
        <v>3</v>
      </c>
      <c r="R410" t="s">
        <v>41</v>
      </c>
    </row>
    <row r="411" spans="1:18">
      <c r="A411" t="s">
        <v>469</v>
      </c>
      <c r="B411" s="4">
        <v>46163</v>
      </c>
      <c r="C411" t="s">
        <v>36</v>
      </c>
      <c r="D411" t="s">
        <v>396</v>
      </c>
      <c r="E411" t="s">
        <v>404</v>
      </c>
      <c r="F411" t="s">
        <v>61</v>
      </c>
      <c r="G411" t="s">
        <v>43</v>
      </c>
      <c r="H411">
        <v>6</v>
      </c>
      <c r="I411" s="5">
        <v>348690</v>
      </c>
      <c r="J411" s="5">
        <v>40632</v>
      </c>
      <c r="K411" s="5">
        <v>308058</v>
      </c>
      <c r="L411" s="5">
        <v>190412</v>
      </c>
      <c r="M411" s="5">
        <v>22010</v>
      </c>
      <c r="N411" s="5">
        <v>0</v>
      </c>
      <c r="O411" s="5">
        <v>58719</v>
      </c>
      <c r="P411" s="5">
        <v>36917</v>
      </c>
      <c r="Q411">
        <v>3</v>
      </c>
      <c r="R411" t="s">
        <v>41</v>
      </c>
    </row>
    <row r="412" spans="1:18">
      <c r="A412" t="s">
        <v>470</v>
      </c>
      <c r="B412" s="4">
        <v>46120</v>
      </c>
      <c r="C412" t="s">
        <v>36</v>
      </c>
      <c r="D412" t="s">
        <v>396</v>
      </c>
      <c r="E412" t="s">
        <v>399</v>
      </c>
      <c r="F412" t="s">
        <v>46</v>
      </c>
      <c r="G412" t="s">
        <v>40</v>
      </c>
      <c r="H412">
        <v>5</v>
      </c>
      <c r="I412" s="5">
        <v>205016</v>
      </c>
      <c r="J412" s="5">
        <v>16545</v>
      </c>
      <c r="K412" s="5">
        <v>188471</v>
      </c>
      <c r="L412" s="5">
        <v>112354</v>
      </c>
      <c r="M412" s="5">
        <v>15882</v>
      </c>
      <c r="N412" s="5">
        <v>0</v>
      </c>
      <c r="O412" s="5">
        <v>31983</v>
      </c>
      <c r="P412" s="5">
        <v>28252</v>
      </c>
      <c r="Q412">
        <v>5</v>
      </c>
      <c r="R412" t="s">
        <v>41</v>
      </c>
    </row>
    <row r="413" spans="1:18">
      <c r="A413" t="s">
        <v>471</v>
      </c>
      <c r="B413" s="4">
        <v>46161</v>
      </c>
      <c r="C413" t="s">
        <v>36</v>
      </c>
      <c r="D413" t="s">
        <v>396</v>
      </c>
      <c r="E413" t="s">
        <v>404</v>
      </c>
      <c r="F413" t="s">
        <v>46</v>
      </c>
      <c r="G413" t="s">
        <v>40</v>
      </c>
      <c r="H413">
        <v>5</v>
      </c>
      <c r="I413" s="5">
        <v>244963</v>
      </c>
      <c r="J413" s="5">
        <v>32766</v>
      </c>
      <c r="K413" s="5">
        <v>212197</v>
      </c>
      <c r="L413" s="5">
        <v>133035</v>
      </c>
      <c r="M413" s="5">
        <v>14171</v>
      </c>
      <c r="N413" s="5">
        <v>0</v>
      </c>
      <c r="O413" s="5">
        <v>39967</v>
      </c>
      <c r="P413" s="5">
        <v>25024</v>
      </c>
      <c r="Q413">
        <v>3</v>
      </c>
      <c r="R413" t="s">
        <v>41</v>
      </c>
    </row>
    <row r="414" spans="1:18">
      <c r="A414" t="s">
        <v>472</v>
      </c>
      <c r="B414" s="4">
        <v>46139</v>
      </c>
      <c r="C414" t="s">
        <v>36</v>
      </c>
      <c r="D414" t="s">
        <v>396</v>
      </c>
      <c r="E414" t="s">
        <v>404</v>
      </c>
      <c r="F414" t="s">
        <v>49</v>
      </c>
      <c r="G414" t="s">
        <v>40</v>
      </c>
      <c r="H414">
        <v>2</v>
      </c>
      <c r="I414" s="5">
        <v>249685</v>
      </c>
      <c r="J414" s="5">
        <v>40777</v>
      </c>
      <c r="K414" s="5">
        <v>208908</v>
      </c>
      <c r="L414" s="5">
        <v>136050</v>
      </c>
      <c r="M414" s="5">
        <v>13066</v>
      </c>
      <c r="N414" s="5">
        <v>0</v>
      </c>
      <c r="O414" s="5">
        <v>29457</v>
      </c>
      <c r="P414" s="5">
        <v>30335</v>
      </c>
      <c r="Q414">
        <v>6</v>
      </c>
      <c r="R414" t="s">
        <v>41</v>
      </c>
    </row>
    <row r="415" spans="1:18">
      <c r="A415" t="s">
        <v>473</v>
      </c>
      <c r="B415" s="4">
        <v>46131</v>
      </c>
      <c r="C415" t="s">
        <v>36</v>
      </c>
      <c r="D415" t="s">
        <v>396</v>
      </c>
      <c r="E415" t="s">
        <v>404</v>
      </c>
      <c r="F415" t="s">
        <v>39</v>
      </c>
      <c r="G415" t="s">
        <v>40</v>
      </c>
      <c r="H415">
        <v>5</v>
      </c>
      <c r="I415" s="5">
        <v>131432</v>
      </c>
      <c r="J415" s="5">
        <v>11853</v>
      </c>
      <c r="K415" s="5">
        <v>119579</v>
      </c>
      <c r="L415" s="5">
        <v>71189</v>
      </c>
      <c r="M415" s="5">
        <v>6403</v>
      </c>
      <c r="N415" s="5">
        <v>0</v>
      </c>
      <c r="O415" s="5">
        <v>20311</v>
      </c>
      <c r="P415" s="5">
        <v>21676</v>
      </c>
      <c r="Q415">
        <v>5</v>
      </c>
      <c r="R415" t="s">
        <v>41</v>
      </c>
    </row>
    <row r="416" spans="1:18">
      <c r="A416" t="s">
        <v>474</v>
      </c>
      <c r="B416" s="4">
        <v>46116</v>
      </c>
      <c r="C416" t="s">
        <v>36</v>
      </c>
      <c r="D416" t="s">
        <v>396</v>
      </c>
      <c r="E416" t="s">
        <v>399</v>
      </c>
      <c r="F416" t="s">
        <v>46</v>
      </c>
      <c r="G416" t="s">
        <v>43</v>
      </c>
      <c r="H416">
        <v>3</v>
      </c>
      <c r="I416" s="5">
        <v>343002</v>
      </c>
      <c r="J416" s="5">
        <v>18999</v>
      </c>
      <c r="K416" s="5">
        <v>324003</v>
      </c>
      <c r="L416" s="5">
        <v>209533</v>
      </c>
      <c r="M416" s="5">
        <v>28149</v>
      </c>
      <c r="N416" s="5">
        <v>0</v>
      </c>
      <c r="O416" s="5">
        <v>63125</v>
      </c>
      <c r="P416" s="5">
        <v>23196</v>
      </c>
      <c r="Q416">
        <v>3</v>
      </c>
      <c r="R416" t="s">
        <v>41</v>
      </c>
    </row>
    <row r="417" spans="1:18">
      <c r="A417" t="s">
        <v>475</v>
      </c>
      <c r="B417" s="4">
        <v>46137</v>
      </c>
      <c r="C417" t="s">
        <v>36</v>
      </c>
      <c r="D417" t="s">
        <v>396</v>
      </c>
      <c r="E417" t="s">
        <v>397</v>
      </c>
      <c r="F417" t="s">
        <v>51</v>
      </c>
      <c r="G417" t="s">
        <v>40</v>
      </c>
      <c r="H417">
        <v>1</v>
      </c>
      <c r="I417" s="5">
        <v>186608</v>
      </c>
      <c r="J417" s="5">
        <v>6274</v>
      </c>
      <c r="K417" s="5">
        <v>180334</v>
      </c>
      <c r="L417" s="5">
        <v>118673</v>
      </c>
      <c r="M417" s="5">
        <v>15188</v>
      </c>
      <c r="N417" s="5">
        <v>0</v>
      </c>
      <c r="O417" s="5">
        <v>22192</v>
      </c>
      <c r="P417" s="5">
        <v>24281</v>
      </c>
      <c r="Q417">
        <v>4</v>
      </c>
      <c r="R417" t="s">
        <v>41</v>
      </c>
    </row>
    <row r="418" spans="1:18">
      <c r="A418" t="s">
        <v>476</v>
      </c>
      <c r="B418" s="4">
        <v>46142</v>
      </c>
      <c r="C418" t="s">
        <v>36</v>
      </c>
      <c r="D418" t="s">
        <v>396</v>
      </c>
      <c r="E418" t="s">
        <v>404</v>
      </c>
      <c r="F418" t="s">
        <v>61</v>
      </c>
      <c r="G418" t="s">
        <v>43</v>
      </c>
      <c r="H418">
        <v>1</v>
      </c>
      <c r="I418" s="5">
        <v>297232</v>
      </c>
      <c r="J418" s="5">
        <v>33814</v>
      </c>
      <c r="K418" s="5">
        <v>263418</v>
      </c>
      <c r="L418" s="5">
        <v>161045</v>
      </c>
      <c r="M418" s="5">
        <v>18913</v>
      </c>
      <c r="N418" s="5">
        <v>0</v>
      </c>
      <c r="O418" s="5">
        <v>48794</v>
      </c>
      <c r="P418" s="5">
        <v>34666</v>
      </c>
      <c r="Q418">
        <v>1</v>
      </c>
      <c r="R418" t="s">
        <v>41</v>
      </c>
    </row>
    <row r="419" spans="1:18">
      <c r="A419" t="s">
        <v>477</v>
      </c>
      <c r="B419" s="4">
        <v>46160</v>
      </c>
      <c r="C419" t="s">
        <v>36</v>
      </c>
      <c r="D419" t="s">
        <v>396</v>
      </c>
      <c r="E419" t="s">
        <v>404</v>
      </c>
      <c r="F419" t="s">
        <v>46</v>
      </c>
      <c r="G419" t="s">
        <v>43</v>
      </c>
      <c r="H419">
        <v>4</v>
      </c>
      <c r="I419" s="5">
        <v>246948</v>
      </c>
      <c r="J419" s="5">
        <v>23437</v>
      </c>
      <c r="K419" s="5">
        <v>223511</v>
      </c>
      <c r="L419" s="5">
        <v>136320</v>
      </c>
      <c r="M419" s="5">
        <v>15825</v>
      </c>
      <c r="N419" s="5">
        <v>0</v>
      </c>
      <c r="O419" s="5">
        <v>35829</v>
      </c>
      <c r="P419" s="5">
        <v>35537</v>
      </c>
      <c r="Q419">
        <v>2</v>
      </c>
      <c r="R419" t="s">
        <v>41</v>
      </c>
    </row>
    <row r="420" spans="1:18">
      <c r="A420" t="s">
        <v>478</v>
      </c>
      <c r="B420" s="4">
        <v>46165</v>
      </c>
      <c r="C420" t="s">
        <v>36</v>
      </c>
      <c r="D420" t="s">
        <v>396</v>
      </c>
      <c r="E420" t="s">
        <v>404</v>
      </c>
      <c r="F420" t="s">
        <v>51</v>
      </c>
      <c r="G420" t="s">
        <v>40</v>
      </c>
      <c r="H420">
        <v>1</v>
      </c>
      <c r="I420" s="5">
        <v>332499</v>
      </c>
      <c r="J420" s="5">
        <v>41528</v>
      </c>
      <c r="K420" s="5">
        <v>290971</v>
      </c>
      <c r="L420" s="5">
        <v>172095</v>
      </c>
      <c r="M420" s="5">
        <v>22827</v>
      </c>
      <c r="N420" s="5">
        <v>10280</v>
      </c>
      <c r="O420" s="5">
        <v>46804</v>
      </c>
      <c r="P420" s="5">
        <v>38965</v>
      </c>
      <c r="Q420">
        <v>4</v>
      </c>
      <c r="R420" t="s">
        <v>53</v>
      </c>
    </row>
    <row r="421" spans="1:18">
      <c r="A421" t="s">
        <v>479</v>
      </c>
      <c r="B421" s="4">
        <v>46171</v>
      </c>
      <c r="C421" t="s">
        <v>36</v>
      </c>
      <c r="D421" t="s">
        <v>396</v>
      </c>
      <c r="E421" t="s">
        <v>404</v>
      </c>
      <c r="F421" t="s">
        <v>46</v>
      </c>
      <c r="G421" t="s">
        <v>43</v>
      </c>
      <c r="H421">
        <v>1</v>
      </c>
      <c r="I421" s="5">
        <v>343065</v>
      </c>
      <c r="J421" s="5">
        <v>50950</v>
      </c>
      <c r="K421" s="5">
        <v>292115</v>
      </c>
      <c r="L421" s="5">
        <v>186200</v>
      </c>
      <c r="M421" s="5">
        <v>21913</v>
      </c>
      <c r="N421" s="5">
        <v>0</v>
      </c>
      <c r="O421" s="5">
        <v>50665</v>
      </c>
      <c r="P421" s="5">
        <v>33337</v>
      </c>
      <c r="Q421">
        <v>6</v>
      </c>
      <c r="R421" t="s">
        <v>41</v>
      </c>
    </row>
    <row r="422" spans="1:18">
      <c r="A422" t="s">
        <v>480</v>
      </c>
      <c r="B422" s="4">
        <v>46186</v>
      </c>
      <c r="C422" t="s">
        <v>36</v>
      </c>
      <c r="D422" t="s">
        <v>396</v>
      </c>
      <c r="E422" t="s">
        <v>397</v>
      </c>
      <c r="F422" t="s">
        <v>49</v>
      </c>
      <c r="G422" t="s">
        <v>40</v>
      </c>
      <c r="H422">
        <v>4</v>
      </c>
      <c r="I422" s="5">
        <v>177544</v>
      </c>
      <c r="J422" s="5">
        <v>10505</v>
      </c>
      <c r="K422" s="5">
        <v>167039</v>
      </c>
      <c r="L422" s="5">
        <v>99531</v>
      </c>
      <c r="M422" s="5">
        <v>10124</v>
      </c>
      <c r="N422" s="5">
        <v>0</v>
      </c>
      <c r="O422" s="5">
        <v>23977</v>
      </c>
      <c r="P422" s="5">
        <v>33407</v>
      </c>
      <c r="Q422">
        <v>2</v>
      </c>
      <c r="R422" t="s">
        <v>41</v>
      </c>
    </row>
    <row r="423" spans="1:18">
      <c r="A423" t="s">
        <v>481</v>
      </c>
      <c r="B423" s="4">
        <v>46118</v>
      </c>
      <c r="C423" t="s">
        <v>36</v>
      </c>
      <c r="D423" t="s">
        <v>396</v>
      </c>
      <c r="E423" t="s">
        <v>402</v>
      </c>
      <c r="F423" t="s">
        <v>49</v>
      </c>
      <c r="G423" t="s">
        <v>40</v>
      </c>
      <c r="H423">
        <v>2</v>
      </c>
      <c r="I423" s="5">
        <v>238274</v>
      </c>
      <c r="J423" s="5">
        <v>9735</v>
      </c>
      <c r="K423" s="5">
        <v>228539</v>
      </c>
      <c r="L423" s="5">
        <v>152800</v>
      </c>
      <c r="M423" s="5">
        <v>14057</v>
      </c>
      <c r="N423" s="5">
        <v>0</v>
      </c>
      <c r="O423" s="5">
        <v>34461</v>
      </c>
      <c r="P423" s="5">
        <v>27221</v>
      </c>
      <c r="Q423">
        <v>4</v>
      </c>
      <c r="R423" t="s">
        <v>41</v>
      </c>
    </row>
    <row r="424" spans="1:18">
      <c r="A424" t="s">
        <v>482</v>
      </c>
      <c r="B424" s="4">
        <v>46167</v>
      </c>
      <c r="C424" t="s">
        <v>36</v>
      </c>
      <c r="D424" t="s">
        <v>396</v>
      </c>
      <c r="E424" t="s">
        <v>399</v>
      </c>
      <c r="F424" t="s">
        <v>49</v>
      </c>
      <c r="G424" t="s">
        <v>40</v>
      </c>
      <c r="H424">
        <v>6</v>
      </c>
      <c r="I424" s="5">
        <v>164024</v>
      </c>
      <c r="J424" s="5">
        <v>16563</v>
      </c>
      <c r="K424" s="5">
        <v>147461</v>
      </c>
      <c r="L424" s="5">
        <v>83452</v>
      </c>
      <c r="M424" s="5">
        <v>10983</v>
      </c>
      <c r="N424" s="5">
        <v>0</v>
      </c>
      <c r="O424" s="5">
        <v>23534</v>
      </c>
      <c r="P424" s="5">
        <v>29492</v>
      </c>
      <c r="Q424">
        <v>5</v>
      </c>
      <c r="R424" t="s">
        <v>41</v>
      </c>
    </row>
    <row r="425" spans="1:18">
      <c r="A425" t="s">
        <v>483</v>
      </c>
      <c r="B425" s="4">
        <v>46127</v>
      </c>
      <c r="C425" t="s">
        <v>36</v>
      </c>
      <c r="D425" t="s">
        <v>396</v>
      </c>
      <c r="E425" t="s">
        <v>404</v>
      </c>
      <c r="F425" t="s">
        <v>49</v>
      </c>
      <c r="G425" t="s">
        <v>40</v>
      </c>
      <c r="H425">
        <v>4</v>
      </c>
      <c r="I425" s="5">
        <v>277652</v>
      </c>
      <c r="J425" s="5">
        <v>25189</v>
      </c>
      <c r="K425" s="5">
        <v>252463</v>
      </c>
      <c r="L425" s="5">
        <v>176168</v>
      </c>
      <c r="M425" s="5">
        <v>18223</v>
      </c>
      <c r="N425" s="5">
        <v>0</v>
      </c>
      <c r="O425" s="5">
        <v>39041</v>
      </c>
      <c r="P425" s="5">
        <v>19031</v>
      </c>
      <c r="Q425">
        <v>3</v>
      </c>
      <c r="R425" t="s">
        <v>41</v>
      </c>
    </row>
    <row r="426" spans="1:18">
      <c r="A426" t="s">
        <v>484</v>
      </c>
      <c r="B426" s="4">
        <v>46138</v>
      </c>
      <c r="C426" t="s">
        <v>36</v>
      </c>
      <c r="D426" t="s">
        <v>396</v>
      </c>
      <c r="E426" t="s">
        <v>402</v>
      </c>
      <c r="F426" t="s">
        <v>61</v>
      </c>
      <c r="G426" t="s">
        <v>43</v>
      </c>
      <c r="H426">
        <v>3</v>
      </c>
      <c r="I426" s="5">
        <v>205195</v>
      </c>
      <c r="J426" s="5">
        <v>15839</v>
      </c>
      <c r="K426" s="5">
        <v>189356</v>
      </c>
      <c r="L426" s="5">
        <v>117509</v>
      </c>
      <c r="M426" s="5">
        <v>14114</v>
      </c>
      <c r="N426" s="5">
        <v>0</v>
      </c>
      <c r="O426" s="5">
        <v>37188</v>
      </c>
      <c r="P426" s="5">
        <v>20545</v>
      </c>
      <c r="Q426">
        <v>4</v>
      </c>
      <c r="R426" t="s">
        <v>41</v>
      </c>
    </row>
    <row r="427" spans="1:18">
      <c r="A427" t="s">
        <v>485</v>
      </c>
      <c r="B427" s="4">
        <v>46127</v>
      </c>
      <c r="C427" t="s">
        <v>36</v>
      </c>
      <c r="D427" t="s">
        <v>396</v>
      </c>
      <c r="E427" t="s">
        <v>402</v>
      </c>
      <c r="F427" t="s">
        <v>39</v>
      </c>
      <c r="G427" t="s">
        <v>40</v>
      </c>
      <c r="H427">
        <v>5</v>
      </c>
      <c r="I427" s="5">
        <v>275136</v>
      </c>
      <c r="J427" s="5">
        <v>22747</v>
      </c>
      <c r="K427" s="5">
        <v>252389</v>
      </c>
      <c r="L427" s="5">
        <v>170250</v>
      </c>
      <c r="M427" s="5">
        <v>20097</v>
      </c>
      <c r="N427" s="5">
        <v>0</v>
      </c>
      <c r="O427" s="5">
        <v>36145</v>
      </c>
      <c r="P427" s="5">
        <v>25897</v>
      </c>
      <c r="Q427">
        <v>1</v>
      </c>
      <c r="R427" t="s">
        <v>41</v>
      </c>
    </row>
    <row r="428" spans="1:18">
      <c r="A428" t="s">
        <v>486</v>
      </c>
      <c r="B428" s="4">
        <v>46183</v>
      </c>
      <c r="C428" t="s">
        <v>36</v>
      </c>
      <c r="D428" t="s">
        <v>396</v>
      </c>
      <c r="E428" t="s">
        <v>402</v>
      </c>
      <c r="F428" t="s">
        <v>61</v>
      </c>
      <c r="G428" t="s">
        <v>40</v>
      </c>
      <c r="H428">
        <v>3</v>
      </c>
      <c r="I428" s="5">
        <v>322939</v>
      </c>
      <c r="J428" s="5">
        <v>30694</v>
      </c>
      <c r="K428" s="5">
        <v>292245</v>
      </c>
      <c r="L428" s="5">
        <v>205865</v>
      </c>
      <c r="M428" s="5">
        <v>22652</v>
      </c>
      <c r="N428" s="5">
        <v>0</v>
      </c>
      <c r="O428" s="5">
        <v>39618</v>
      </c>
      <c r="P428" s="5">
        <v>24110</v>
      </c>
      <c r="Q428">
        <v>1</v>
      </c>
      <c r="R428" t="s">
        <v>41</v>
      </c>
    </row>
    <row r="429" spans="1:18">
      <c r="A429" t="s">
        <v>487</v>
      </c>
      <c r="B429" s="4">
        <v>46119</v>
      </c>
      <c r="C429" t="s">
        <v>36</v>
      </c>
      <c r="D429" t="s">
        <v>396</v>
      </c>
      <c r="E429" t="s">
        <v>402</v>
      </c>
      <c r="F429" t="s">
        <v>39</v>
      </c>
      <c r="G429" t="s">
        <v>43</v>
      </c>
      <c r="H429">
        <v>6</v>
      </c>
      <c r="I429" s="5">
        <v>237416</v>
      </c>
      <c r="J429" s="5">
        <v>14936</v>
      </c>
      <c r="K429" s="5">
        <v>222480</v>
      </c>
      <c r="L429" s="5">
        <v>133340</v>
      </c>
      <c r="M429" s="5">
        <v>18218</v>
      </c>
      <c r="N429" s="5">
        <v>0</v>
      </c>
      <c r="O429" s="5">
        <v>40711</v>
      </c>
      <c r="P429" s="5">
        <v>30211</v>
      </c>
      <c r="Q429">
        <v>2</v>
      </c>
      <c r="R429" t="s">
        <v>41</v>
      </c>
    </row>
    <row r="430" spans="1:18">
      <c r="A430" t="s">
        <v>488</v>
      </c>
      <c r="B430" s="4">
        <v>46138</v>
      </c>
      <c r="C430" t="s">
        <v>36</v>
      </c>
      <c r="D430" t="s">
        <v>396</v>
      </c>
      <c r="E430" t="s">
        <v>397</v>
      </c>
      <c r="F430" t="s">
        <v>49</v>
      </c>
      <c r="G430" t="s">
        <v>43</v>
      </c>
      <c r="H430">
        <v>1</v>
      </c>
      <c r="I430" s="5">
        <v>216553</v>
      </c>
      <c r="J430" s="5">
        <v>24783</v>
      </c>
      <c r="K430" s="5">
        <v>191770</v>
      </c>
      <c r="L430" s="5">
        <v>115867</v>
      </c>
      <c r="M430" s="5">
        <v>10180</v>
      </c>
      <c r="N430" s="5">
        <v>0</v>
      </c>
      <c r="O430" s="5">
        <v>31300</v>
      </c>
      <c r="P430" s="5">
        <v>34423</v>
      </c>
      <c r="Q430">
        <v>2</v>
      </c>
      <c r="R430" t="s">
        <v>41</v>
      </c>
    </row>
    <row r="431" spans="1:18">
      <c r="A431" t="s">
        <v>489</v>
      </c>
      <c r="B431" s="4">
        <v>46143</v>
      </c>
      <c r="C431" t="s">
        <v>36</v>
      </c>
      <c r="D431" t="s">
        <v>396</v>
      </c>
      <c r="E431" t="s">
        <v>404</v>
      </c>
      <c r="F431" t="s">
        <v>49</v>
      </c>
      <c r="G431" t="s">
        <v>43</v>
      </c>
      <c r="H431">
        <v>4</v>
      </c>
      <c r="I431" s="5">
        <v>321950</v>
      </c>
      <c r="J431" s="5">
        <v>13998</v>
      </c>
      <c r="K431" s="5">
        <v>307952</v>
      </c>
      <c r="L431" s="5">
        <v>199175</v>
      </c>
      <c r="M431" s="5">
        <v>16457</v>
      </c>
      <c r="N431" s="5">
        <v>0</v>
      </c>
      <c r="O431" s="5">
        <v>57617</v>
      </c>
      <c r="P431" s="5">
        <v>34703</v>
      </c>
      <c r="Q431">
        <v>4</v>
      </c>
      <c r="R431" t="s">
        <v>41</v>
      </c>
    </row>
    <row r="432" spans="1:18">
      <c r="A432" t="s">
        <v>490</v>
      </c>
      <c r="B432" s="4">
        <v>46192</v>
      </c>
      <c r="C432" t="s">
        <v>36</v>
      </c>
      <c r="D432" t="s">
        <v>396</v>
      </c>
      <c r="E432" t="s">
        <v>404</v>
      </c>
      <c r="F432" t="s">
        <v>61</v>
      </c>
      <c r="G432" t="s">
        <v>40</v>
      </c>
      <c r="H432">
        <v>2</v>
      </c>
      <c r="I432" s="5">
        <v>246573</v>
      </c>
      <c r="J432" s="5">
        <v>24157</v>
      </c>
      <c r="K432" s="5">
        <v>222416</v>
      </c>
      <c r="L432" s="5">
        <v>149309</v>
      </c>
      <c r="M432" s="5">
        <v>14196</v>
      </c>
      <c r="N432" s="5">
        <v>0</v>
      </c>
      <c r="O432" s="5">
        <v>39911</v>
      </c>
      <c r="P432" s="5">
        <v>19000</v>
      </c>
      <c r="Q432">
        <v>4</v>
      </c>
      <c r="R432" t="s">
        <v>41</v>
      </c>
    </row>
    <row r="433" spans="1:18">
      <c r="A433" t="s">
        <v>491</v>
      </c>
      <c r="B433" s="4">
        <v>46190</v>
      </c>
      <c r="C433" t="s">
        <v>36</v>
      </c>
      <c r="D433" t="s">
        <v>396</v>
      </c>
      <c r="E433" t="s">
        <v>399</v>
      </c>
      <c r="F433" t="s">
        <v>39</v>
      </c>
      <c r="G433" t="s">
        <v>40</v>
      </c>
      <c r="H433">
        <v>1</v>
      </c>
      <c r="I433" s="5">
        <v>217155</v>
      </c>
      <c r="J433" s="5">
        <v>30512</v>
      </c>
      <c r="K433" s="5">
        <v>186643</v>
      </c>
      <c r="L433" s="5">
        <v>103487</v>
      </c>
      <c r="M433" s="5">
        <v>9152</v>
      </c>
      <c r="N433" s="5">
        <v>0</v>
      </c>
      <c r="O433" s="5">
        <v>36676</v>
      </c>
      <c r="P433" s="5">
        <v>37328</v>
      </c>
      <c r="Q433">
        <v>4</v>
      </c>
      <c r="R433" t="s">
        <v>41</v>
      </c>
    </row>
    <row r="434" spans="1:18">
      <c r="A434" t="s">
        <v>492</v>
      </c>
      <c r="B434" s="4">
        <v>46202</v>
      </c>
      <c r="C434" t="s">
        <v>36</v>
      </c>
      <c r="D434" t="s">
        <v>396</v>
      </c>
      <c r="E434" t="s">
        <v>404</v>
      </c>
      <c r="F434" t="s">
        <v>46</v>
      </c>
      <c r="G434" t="s">
        <v>43</v>
      </c>
      <c r="H434">
        <v>1</v>
      </c>
      <c r="I434" s="5">
        <v>372450</v>
      </c>
      <c r="J434" s="5">
        <v>73147</v>
      </c>
      <c r="K434" s="5">
        <v>299303</v>
      </c>
      <c r="L434" s="5">
        <v>197780</v>
      </c>
      <c r="M434" s="5">
        <v>20325</v>
      </c>
      <c r="N434" s="5">
        <v>0</v>
      </c>
      <c r="O434" s="5">
        <v>66668</v>
      </c>
      <c r="P434" s="5">
        <v>14530</v>
      </c>
      <c r="Q434">
        <v>6</v>
      </c>
      <c r="R434" t="s">
        <v>41</v>
      </c>
    </row>
    <row r="435" spans="1:18">
      <c r="A435" t="s">
        <v>493</v>
      </c>
      <c r="B435" s="4">
        <v>46183</v>
      </c>
      <c r="C435" t="s">
        <v>36</v>
      </c>
      <c r="D435" t="s">
        <v>396</v>
      </c>
      <c r="E435" t="s">
        <v>397</v>
      </c>
      <c r="F435" t="s">
        <v>39</v>
      </c>
      <c r="G435" t="s">
        <v>43</v>
      </c>
      <c r="H435">
        <v>2</v>
      </c>
      <c r="I435" s="5">
        <v>249549</v>
      </c>
      <c r="J435" s="5">
        <v>33591</v>
      </c>
      <c r="K435" s="5">
        <v>215958</v>
      </c>
      <c r="L435" s="5">
        <v>141892</v>
      </c>
      <c r="M435" s="5">
        <v>14953</v>
      </c>
      <c r="N435" s="5">
        <v>9369</v>
      </c>
      <c r="O435" s="5">
        <v>32746</v>
      </c>
      <c r="P435" s="5">
        <v>16998</v>
      </c>
      <c r="Q435">
        <v>4</v>
      </c>
      <c r="R435" t="s">
        <v>53</v>
      </c>
    </row>
    <row r="436" spans="1:18">
      <c r="A436" t="s">
        <v>494</v>
      </c>
      <c r="B436" s="4">
        <v>46139</v>
      </c>
      <c r="C436" t="s">
        <v>36</v>
      </c>
      <c r="D436" t="s">
        <v>396</v>
      </c>
      <c r="E436" t="s">
        <v>397</v>
      </c>
      <c r="F436" t="s">
        <v>61</v>
      </c>
      <c r="G436" t="s">
        <v>40</v>
      </c>
      <c r="H436">
        <v>4</v>
      </c>
      <c r="I436" s="5">
        <v>255835</v>
      </c>
      <c r="J436" s="5">
        <v>40916</v>
      </c>
      <c r="K436" s="5">
        <v>214919</v>
      </c>
      <c r="L436" s="5">
        <v>139344</v>
      </c>
      <c r="M436" s="5">
        <v>15031</v>
      </c>
      <c r="N436" s="5">
        <v>0</v>
      </c>
      <c r="O436" s="5">
        <v>41987</v>
      </c>
      <c r="P436" s="5">
        <v>18557</v>
      </c>
      <c r="Q436">
        <v>5</v>
      </c>
      <c r="R436" t="s">
        <v>41</v>
      </c>
    </row>
    <row r="437" spans="1:18">
      <c r="A437" t="s">
        <v>495</v>
      </c>
      <c r="B437" s="4">
        <v>46153</v>
      </c>
      <c r="C437" t="s">
        <v>36</v>
      </c>
      <c r="D437" t="s">
        <v>396</v>
      </c>
      <c r="E437" t="s">
        <v>399</v>
      </c>
      <c r="F437" t="s">
        <v>49</v>
      </c>
      <c r="G437" t="s">
        <v>43</v>
      </c>
      <c r="H437">
        <v>2</v>
      </c>
      <c r="I437" s="5">
        <v>269164</v>
      </c>
      <c r="J437" s="5">
        <v>27526</v>
      </c>
      <c r="K437" s="5">
        <v>241638</v>
      </c>
      <c r="L437" s="5">
        <v>150664</v>
      </c>
      <c r="M437" s="5">
        <v>17710</v>
      </c>
      <c r="N437" s="5">
        <v>0</v>
      </c>
      <c r="O437" s="5">
        <v>32261</v>
      </c>
      <c r="P437" s="5">
        <v>41003</v>
      </c>
      <c r="Q437">
        <v>1</v>
      </c>
      <c r="R437" t="s">
        <v>41</v>
      </c>
    </row>
    <row r="438" spans="1:18">
      <c r="A438" t="s">
        <v>496</v>
      </c>
      <c r="B438" s="4">
        <v>46191</v>
      </c>
      <c r="C438" t="s">
        <v>36</v>
      </c>
      <c r="D438" t="s">
        <v>396</v>
      </c>
      <c r="E438" t="s">
        <v>404</v>
      </c>
      <c r="F438" t="s">
        <v>39</v>
      </c>
      <c r="G438" t="s">
        <v>40</v>
      </c>
      <c r="H438">
        <v>1</v>
      </c>
      <c r="I438" s="5">
        <v>238073</v>
      </c>
      <c r="J438" s="5">
        <v>18838</v>
      </c>
      <c r="K438" s="5">
        <v>219235</v>
      </c>
      <c r="L438" s="5">
        <v>143411</v>
      </c>
      <c r="M438" s="5">
        <v>15369</v>
      </c>
      <c r="N438" s="5">
        <v>0</v>
      </c>
      <c r="O438" s="5">
        <v>33557</v>
      </c>
      <c r="P438" s="5">
        <v>26898</v>
      </c>
      <c r="Q438">
        <v>2</v>
      </c>
      <c r="R438" t="s">
        <v>41</v>
      </c>
    </row>
    <row r="439" spans="1:18">
      <c r="A439" t="s">
        <v>497</v>
      </c>
      <c r="B439" s="4">
        <v>46191</v>
      </c>
      <c r="C439" t="s">
        <v>36</v>
      </c>
      <c r="D439" t="s">
        <v>396</v>
      </c>
      <c r="E439" t="s">
        <v>402</v>
      </c>
      <c r="F439" t="s">
        <v>46</v>
      </c>
      <c r="G439" t="s">
        <v>40</v>
      </c>
      <c r="H439">
        <v>3</v>
      </c>
      <c r="I439" s="5">
        <v>162370</v>
      </c>
      <c r="J439" s="5">
        <v>22542</v>
      </c>
      <c r="K439" s="5">
        <v>139828</v>
      </c>
      <c r="L439" s="5">
        <v>92916</v>
      </c>
      <c r="M439" s="5">
        <v>11062</v>
      </c>
      <c r="N439" s="5">
        <v>0</v>
      </c>
      <c r="O439" s="5">
        <v>19629</v>
      </c>
      <c r="P439" s="5">
        <v>16221</v>
      </c>
      <c r="Q439">
        <v>4</v>
      </c>
      <c r="R439" t="s">
        <v>41</v>
      </c>
    </row>
    <row r="440" spans="1:18">
      <c r="A440" t="s">
        <v>498</v>
      </c>
      <c r="B440" s="4">
        <v>46145</v>
      </c>
      <c r="C440" t="s">
        <v>36</v>
      </c>
      <c r="D440" t="s">
        <v>396</v>
      </c>
      <c r="E440" t="s">
        <v>397</v>
      </c>
      <c r="F440" t="s">
        <v>39</v>
      </c>
      <c r="G440" t="s">
        <v>43</v>
      </c>
      <c r="H440">
        <v>5</v>
      </c>
      <c r="I440" s="5">
        <v>157102</v>
      </c>
      <c r="J440" s="5">
        <v>11445</v>
      </c>
      <c r="K440" s="5">
        <v>145657</v>
      </c>
      <c r="L440" s="5">
        <v>87319</v>
      </c>
      <c r="M440" s="5">
        <v>10694</v>
      </c>
      <c r="N440" s="5">
        <v>0</v>
      </c>
      <c r="O440" s="5">
        <v>26888</v>
      </c>
      <c r="P440" s="5">
        <v>20756</v>
      </c>
      <c r="Q440">
        <v>5</v>
      </c>
      <c r="R440" t="s">
        <v>41</v>
      </c>
    </row>
    <row r="441" spans="1:18">
      <c r="A441" t="s">
        <v>499</v>
      </c>
      <c r="B441" s="4">
        <v>46185</v>
      </c>
      <c r="C441" t="s">
        <v>36</v>
      </c>
      <c r="D441" t="s">
        <v>396</v>
      </c>
      <c r="E441" t="s">
        <v>397</v>
      </c>
      <c r="F441" t="s">
        <v>51</v>
      </c>
      <c r="G441" t="s">
        <v>40</v>
      </c>
      <c r="H441">
        <v>3</v>
      </c>
      <c r="I441" s="5">
        <v>133379</v>
      </c>
      <c r="J441" s="5">
        <v>7093</v>
      </c>
      <c r="K441" s="5">
        <v>126286</v>
      </c>
      <c r="L441" s="5">
        <v>75655</v>
      </c>
      <c r="M441" s="5">
        <v>8037</v>
      </c>
      <c r="N441" s="5">
        <v>0</v>
      </c>
      <c r="O441" s="5">
        <v>25914</v>
      </c>
      <c r="P441" s="5">
        <v>16680</v>
      </c>
      <c r="Q441">
        <v>2</v>
      </c>
      <c r="R441" t="s">
        <v>41</v>
      </c>
    </row>
    <row r="442" spans="1:18">
      <c r="A442" t="s">
        <v>500</v>
      </c>
      <c r="B442" s="4">
        <v>46132</v>
      </c>
      <c r="C442" t="s">
        <v>36</v>
      </c>
      <c r="D442" t="s">
        <v>396</v>
      </c>
      <c r="E442" t="s">
        <v>402</v>
      </c>
      <c r="F442" t="s">
        <v>49</v>
      </c>
      <c r="G442" t="s">
        <v>43</v>
      </c>
      <c r="H442">
        <v>4</v>
      </c>
      <c r="I442" s="5">
        <v>294309</v>
      </c>
      <c r="J442" s="5">
        <v>44078</v>
      </c>
      <c r="K442" s="5">
        <v>250231</v>
      </c>
      <c r="L442" s="5">
        <v>169764</v>
      </c>
      <c r="M442" s="5">
        <v>18541</v>
      </c>
      <c r="N442" s="5">
        <v>8317</v>
      </c>
      <c r="O442" s="5">
        <v>38145</v>
      </c>
      <c r="P442" s="5">
        <v>15464</v>
      </c>
      <c r="Q442">
        <v>1</v>
      </c>
      <c r="R442" t="s">
        <v>53</v>
      </c>
    </row>
    <row r="443" spans="1:18">
      <c r="A443" t="s">
        <v>501</v>
      </c>
      <c r="B443" s="4">
        <v>46199</v>
      </c>
      <c r="C443" t="s">
        <v>36</v>
      </c>
      <c r="D443" t="s">
        <v>396</v>
      </c>
      <c r="E443" t="s">
        <v>399</v>
      </c>
      <c r="F443" t="s">
        <v>49</v>
      </c>
      <c r="G443" t="s">
        <v>40</v>
      </c>
      <c r="H443">
        <v>2</v>
      </c>
      <c r="I443" s="5">
        <v>176469</v>
      </c>
      <c r="J443" s="5">
        <v>20765</v>
      </c>
      <c r="K443" s="5">
        <v>155704</v>
      </c>
      <c r="L443" s="5">
        <v>97292</v>
      </c>
      <c r="M443" s="5">
        <v>12168</v>
      </c>
      <c r="N443" s="5">
        <v>0</v>
      </c>
      <c r="O443" s="5">
        <v>20814</v>
      </c>
      <c r="P443" s="5">
        <v>25430</v>
      </c>
      <c r="Q443">
        <v>2</v>
      </c>
      <c r="R443" t="s">
        <v>41</v>
      </c>
    </row>
    <row r="444" spans="1:18">
      <c r="A444" t="s">
        <v>502</v>
      </c>
      <c r="B444" s="4">
        <v>46116</v>
      </c>
      <c r="C444" t="s">
        <v>36</v>
      </c>
      <c r="D444" t="s">
        <v>396</v>
      </c>
      <c r="E444" t="s">
        <v>399</v>
      </c>
      <c r="F444" t="s">
        <v>46</v>
      </c>
      <c r="G444" t="s">
        <v>40</v>
      </c>
      <c r="H444">
        <v>5</v>
      </c>
      <c r="I444" s="5">
        <v>163784</v>
      </c>
      <c r="J444" s="5">
        <v>13466</v>
      </c>
      <c r="K444" s="5">
        <v>150318</v>
      </c>
      <c r="L444" s="5">
        <v>91689</v>
      </c>
      <c r="M444" s="5">
        <v>11043</v>
      </c>
      <c r="N444" s="5">
        <v>4325</v>
      </c>
      <c r="O444" s="5">
        <v>13198</v>
      </c>
      <c r="P444" s="5">
        <v>30063</v>
      </c>
      <c r="Q444">
        <v>3</v>
      </c>
      <c r="R444" t="s">
        <v>53</v>
      </c>
    </row>
    <row r="445" spans="1:18">
      <c r="A445" t="s">
        <v>503</v>
      </c>
      <c r="B445" s="4">
        <v>46153</v>
      </c>
      <c r="C445" t="s">
        <v>36</v>
      </c>
      <c r="D445" t="s">
        <v>396</v>
      </c>
      <c r="E445" t="s">
        <v>397</v>
      </c>
      <c r="F445" t="s">
        <v>39</v>
      </c>
      <c r="G445" t="s">
        <v>43</v>
      </c>
      <c r="H445">
        <v>1</v>
      </c>
      <c r="I445" s="5">
        <v>207857</v>
      </c>
      <c r="J445" s="5">
        <v>19174</v>
      </c>
      <c r="K445" s="5">
        <v>188683</v>
      </c>
      <c r="L445" s="5">
        <v>108168</v>
      </c>
      <c r="M445" s="5">
        <v>14301</v>
      </c>
      <c r="N445" s="5">
        <v>0</v>
      </c>
      <c r="O445" s="5">
        <v>34180</v>
      </c>
      <c r="P445" s="5">
        <v>32034</v>
      </c>
      <c r="Q445">
        <v>3</v>
      </c>
      <c r="R445" t="s">
        <v>41</v>
      </c>
    </row>
    <row r="446" spans="1:18">
      <c r="A446" t="s">
        <v>504</v>
      </c>
      <c r="B446" s="4">
        <v>46151</v>
      </c>
      <c r="C446" t="s">
        <v>36</v>
      </c>
      <c r="D446" t="s">
        <v>396</v>
      </c>
      <c r="E446" t="s">
        <v>404</v>
      </c>
      <c r="F446" t="s">
        <v>61</v>
      </c>
      <c r="G446" t="s">
        <v>43</v>
      </c>
      <c r="H446">
        <v>1</v>
      </c>
      <c r="I446" s="5">
        <v>290886</v>
      </c>
      <c r="J446" s="5">
        <v>24499</v>
      </c>
      <c r="K446" s="5">
        <v>266387</v>
      </c>
      <c r="L446" s="5">
        <v>170818</v>
      </c>
      <c r="M446" s="5">
        <v>23235</v>
      </c>
      <c r="N446" s="5">
        <v>0</v>
      </c>
      <c r="O446" s="5">
        <v>42974</v>
      </c>
      <c r="P446" s="5">
        <v>29360</v>
      </c>
      <c r="Q446">
        <v>3</v>
      </c>
      <c r="R446" t="s">
        <v>41</v>
      </c>
    </row>
    <row r="447" spans="1:18">
      <c r="A447" t="s">
        <v>505</v>
      </c>
      <c r="B447" s="4">
        <v>46177</v>
      </c>
      <c r="C447" t="s">
        <v>36</v>
      </c>
      <c r="D447" t="s">
        <v>396</v>
      </c>
      <c r="E447" t="s">
        <v>404</v>
      </c>
      <c r="F447" t="s">
        <v>51</v>
      </c>
      <c r="G447" t="s">
        <v>43</v>
      </c>
      <c r="H447">
        <v>4</v>
      </c>
      <c r="I447" s="5">
        <v>154367</v>
      </c>
      <c r="J447" s="5">
        <v>19056</v>
      </c>
      <c r="K447" s="5">
        <v>135311</v>
      </c>
      <c r="L447" s="5">
        <v>77932</v>
      </c>
      <c r="M447" s="5">
        <v>6602</v>
      </c>
      <c r="N447" s="5">
        <v>0</v>
      </c>
      <c r="O447" s="5">
        <v>23715</v>
      </c>
      <c r="P447" s="5">
        <v>27062</v>
      </c>
      <c r="Q447">
        <v>1</v>
      </c>
      <c r="R447" t="s">
        <v>41</v>
      </c>
    </row>
    <row r="448" spans="1:18">
      <c r="A448" t="s">
        <v>506</v>
      </c>
      <c r="B448" s="4">
        <v>46179</v>
      </c>
      <c r="C448" t="s">
        <v>36</v>
      </c>
      <c r="D448" t="s">
        <v>396</v>
      </c>
      <c r="E448" t="s">
        <v>404</v>
      </c>
      <c r="F448" t="s">
        <v>51</v>
      </c>
      <c r="G448" t="s">
        <v>40</v>
      </c>
      <c r="H448">
        <v>4</v>
      </c>
      <c r="I448" s="5">
        <v>178636</v>
      </c>
      <c r="J448" s="5">
        <v>18812</v>
      </c>
      <c r="K448" s="5">
        <v>159824</v>
      </c>
      <c r="L448" s="5">
        <v>96172</v>
      </c>
      <c r="M448" s="5">
        <v>8431</v>
      </c>
      <c r="N448" s="5">
        <v>0</v>
      </c>
      <c r="O448" s="5">
        <v>23662</v>
      </c>
      <c r="P448" s="5">
        <v>31559</v>
      </c>
      <c r="Q448">
        <v>2</v>
      </c>
      <c r="R448" t="s">
        <v>41</v>
      </c>
    </row>
    <row r="449" spans="1:18">
      <c r="A449" t="s">
        <v>507</v>
      </c>
      <c r="B449" s="4">
        <v>46124</v>
      </c>
      <c r="C449" t="s">
        <v>36</v>
      </c>
      <c r="D449" t="s">
        <v>396</v>
      </c>
      <c r="E449" t="s">
        <v>399</v>
      </c>
      <c r="F449" t="s">
        <v>46</v>
      </c>
      <c r="G449" t="s">
        <v>40</v>
      </c>
      <c r="H449">
        <v>1</v>
      </c>
      <c r="I449" s="5">
        <v>304185</v>
      </c>
      <c r="J449" s="5">
        <v>17257</v>
      </c>
      <c r="K449" s="5">
        <v>286928</v>
      </c>
      <c r="L449" s="5">
        <v>169398</v>
      </c>
      <c r="M449" s="5">
        <v>17773</v>
      </c>
      <c r="N449" s="5">
        <v>15684</v>
      </c>
      <c r="O449" s="5">
        <v>42499</v>
      </c>
      <c r="P449" s="5">
        <v>41574</v>
      </c>
      <c r="Q449">
        <v>5</v>
      </c>
      <c r="R449" t="s">
        <v>53</v>
      </c>
    </row>
    <row r="450" spans="1:18">
      <c r="A450" t="s">
        <v>508</v>
      </c>
      <c r="B450" s="4">
        <v>46139</v>
      </c>
      <c r="C450" t="s">
        <v>36</v>
      </c>
      <c r="D450" t="s">
        <v>396</v>
      </c>
      <c r="E450" t="s">
        <v>399</v>
      </c>
      <c r="F450" t="s">
        <v>51</v>
      </c>
      <c r="G450" t="s">
        <v>40</v>
      </c>
      <c r="H450">
        <v>3</v>
      </c>
      <c r="I450" s="5">
        <v>283803</v>
      </c>
      <c r="J450" s="5">
        <v>16770</v>
      </c>
      <c r="K450" s="5">
        <v>267033</v>
      </c>
      <c r="L450" s="5">
        <v>162208</v>
      </c>
      <c r="M450" s="5">
        <v>19036</v>
      </c>
      <c r="N450" s="5">
        <v>0</v>
      </c>
      <c r="O450" s="5">
        <v>47824</v>
      </c>
      <c r="P450" s="5">
        <v>37965</v>
      </c>
      <c r="Q450">
        <v>3</v>
      </c>
      <c r="R450" t="s">
        <v>41</v>
      </c>
    </row>
    <row r="451" spans="1:18">
      <c r="A451" t="s">
        <v>509</v>
      </c>
      <c r="B451" s="4">
        <v>46148</v>
      </c>
      <c r="C451" t="s">
        <v>36</v>
      </c>
      <c r="D451" t="s">
        <v>396</v>
      </c>
      <c r="E451" t="s">
        <v>397</v>
      </c>
      <c r="F451" t="s">
        <v>61</v>
      </c>
      <c r="G451" t="s">
        <v>40</v>
      </c>
      <c r="H451">
        <v>2</v>
      </c>
      <c r="I451" s="5">
        <v>239957</v>
      </c>
      <c r="J451" s="5">
        <v>25168</v>
      </c>
      <c r="K451" s="5">
        <v>214789</v>
      </c>
      <c r="L451" s="5">
        <v>130984</v>
      </c>
      <c r="M451" s="5">
        <v>11776</v>
      </c>
      <c r="N451" s="5">
        <v>0</v>
      </c>
      <c r="O451" s="5">
        <v>39238</v>
      </c>
      <c r="P451" s="5">
        <v>32791</v>
      </c>
      <c r="Q451">
        <v>4</v>
      </c>
      <c r="R451" t="s">
        <v>41</v>
      </c>
    </row>
    <row r="452" spans="1:18">
      <c r="A452" t="s">
        <v>510</v>
      </c>
      <c r="B452" s="4">
        <v>46186</v>
      </c>
      <c r="C452" t="s">
        <v>36</v>
      </c>
      <c r="D452" t="s">
        <v>396</v>
      </c>
      <c r="E452" t="s">
        <v>404</v>
      </c>
      <c r="F452" t="s">
        <v>51</v>
      </c>
      <c r="G452" t="s">
        <v>40</v>
      </c>
      <c r="H452">
        <v>3</v>
      </c>
      <c r="I452" s="5">
        <v>229672</v>
      </c>
      <c r="J452" s="5">
        <v>15475</v>
      </c>
      <c r="K452" s="5">
        <v>214197</v>
      </c>
      <c r="L452" s="5">
        <v>131859</v>
      </c>
      <c r="M452" s="5">
        <v>18294</v>
      </c>
      <c r="N452" s="5">
        <v>0</v>
      </c>
      <c r="O452" s="5">
        <v>37043</v>
      </c>
      <c r="P452" s="5">
        <v>27001</v>
      </c>
      <c r="Q452">
        <v>3</v>
      </c>
      <c r="R452" t="s">
        <v>41</v>
      </c>
    </row>
    <row r="453" spans="1:18">
      <c r="A453" t="s">
        <v>511</v>
      </c>
      <c r="B453" s="4">
        <v>46199</v>
      </c>
      <c r="C453" t="s">
        <v>36</v>
      </c>
      <c r="D453" t="s">
        <v>396</v>
      </c>
      <c r="E453" t="s">
        <v>397</v>
      </c>
      <c r="F453" t="s">
        <v>61</v>
      </c>
      <c r="G453" t="s">
        <v>43</v>
      </c>
      <c r="H453">
        <v>1</v>
      </c>
      <c r="I453" s="5">
        <v>170140</v>
      </c>
      <c r="J453" s="5">
        <v>14614</v>
      </c>
      <c r="K453" s="5">
        <v>155526</v>
      </c>
      <c r="L453" s="5">
        <v>97440</v>
      </c>
      <c r="M453" s="5">
        <v>8825</v>
      </c>
      <c r="N453" s="5">
        <v>0</v>
      </c>
      <c r="O453" s="5">
        <v>29082</v>
      </c>
      <c r="P453" s="5">
        <v>20179</v>
      </c>
      <c r="Q453">
        <v>2</v>
      </c>
      <c r="R453" t="s">
        <v>41</v>
      </c>
    </row>
    <row r="454" spans="1:18">
      <c r="A454" t="s">
        <v>512</v>
      </c>
      <c r="B454" s="4">
        <v>46201</v>
      </c>
      <c r="C454" t="s">
        <v>36</v>
      </c>
      <c r="D454" t="s">
        <v>396</v>
      </c>
      <c r="E454" t="s">
        <v>402</v>
      </c>
      <c r="F454" t="s">
        <v>49</v>
      </c>
      <c r="G454" t="s">
        <v>43</v>
      </c>
      <c r="H454">
        <v>3</v>
      </c>
      <c r="I454" s="5">
        <v>168244</v>
      </c>
      <c r="J454" s="5">
        <v>23541</v>
      </c>
      <c r="K454" s="5">
        <v>144703</v>
      </c>
      <c r="L454" s="5">
        <v>86060</v>
      </c>
      <c r="M454" s="5">
        <v>11072</v>
      </c>
      <c r="N454" s="5">
        <v>0</v>
      </c>
      <c r="O454" s="5">
        <v>18631</v>
      </c>
      <c r="P454" s="5">
        <v>28940</v>
      </c>
      <c r="Q454">
        <v>4</v>
      </c>
      <c r="R454" t="s">
        <v>41</v>
      </c>
    </row>
    <row r="455" spans="1:18">
      <c r="A455" t="s">
        <v>513</v>
      </c>
      <c r="B455" s="4">
        <v>46172</v>
      </c>
      <c r="C455" t="s">
        <v>36</v>
      </c>
      <c r="D455" t="s">
        <v>396</v>
      </c>
      <c r="E455" t="s">
        <v>404</v>
      </c>
      <c r="F455" t="s">
        <v>61</v>
      </c>
      <c r="G455" t="s">
        <v>43</v>
      </c>
      <c r="H455">
        <v>1</v>
      </c>
      <c r="I455" s="5">
        <v>323665</v>
      </c>
      <c r="J455" s="5">
        <v>31880</v>
      </c>
      <c r="K455" s="5">
        <v>291785</v>
      </c>
      <c r="L455" s="5">
        <v>190273</v>
      </c>
      <c r="M455" s="5">
        <v>23489</v>
      </c>
      <c r="N455" s="5">
        <v>17014</v>
      </c>
      <c r="O455" s="5">
        <v>23513</v>
      </c>
      <c r="P455" s="5">
        <v>37496</v>
      </c>
      <c r="Q455">
        <v>4</v>
      </c>
      <c r="R455" t="s">
        <v>53</v>
      </c>
    </row>
    <row r="456" spans="1:18">
      <c r="A456" t="s">
        <v>514</v>
      </c>
      <c r="B456" s="4">
        <v>46141</v>
      </c>
      <c r="C456" t="s">
        <v>36</v>
      </c>
      <c r="D456" t="s">
        <v>396</v>
      </c>
      <c r="E456" t="s">
        <v>404</v>
      </c>
      <c r="F456" t="s">
        <v>49</v>
      </c>
      <c r="G456" t="s">
        <v>43</v>
      </c>
      <c r="H456">
        <v>3</v>
      </c>
      <c r="I456" s="5">
        <v>121484</v>
      </c>
      <c r="J456" s="5">
        <v>7155</v>
      </c>
      <c r="K456" s="5">
        <v>114329</v>
      </c>
      <c r="L456" s="5">
        <v>68236</v>
      </c>
      <c r="M456" s="5">
        <v>7211</v>
      </c>
      <c r="N456" s="5">
        <v>0</v>
      </c>
      <c r="O456" s="5">
        <v>16279</v>
      </c>
      <c r="P456" s="5">
        <v>22603</v>
      </c>
      <c r="Q456">
        <v>4</v>
      </c>
      <c r="R456" t="s">
        <v>41</v>
      </c>
    </row>
    <row r="457" spans="1:18">
      <c r="A457" t="s">
        <v>515</v>
      </c>
      <c r="B457" s="4">
        <v>46171</v>
      </c>
      <c r="C457" t="s">
        <v>36</v>
      </c>
      <c r="D457" t="s">
        <v>396</v>
      </c>
      <c r="E457" t="s">
        <v>402</v>
      </c>
      <c r="F457" t="s">
        <v>61</v>
      </c>
      <c r="G457" t="s">
        <v>40</v>
      </c>
      <c r="H457">
        <v>4</v>
      </c>
      <c r="I457" s="5">
        <v>127493</v>
      </c>
      <c r="J457" s="5">
        <v>8635</v>
      </c>
      <c r="K457" s="5">
        <v>118858</v>
      </c>
      <c r="L457" s="5">
        <v>76585</v>
      </c>
      <c r="M457" s="5">
        <v>9476</v>
      </c>
      <c r="N457" s="5">
        <v>0</v>
      </c>
      <c r="O457" s="5">
        <v>17452</v>
      </c>
      <c r="P457" s="5">
        <v>15345</v>
      </c>
      <c r="Q457">
        <v>5</v>
      </c>
      <c r="R457" t="s">
        <v>41</v>
      </c>
    </row>
    <row r="458" spans="1:18">
      <c r="A458" t="s">
        <v>516</v>
      </c>
      <c r="B458" s="4">
        <v>46186</v>
      </c>
      <c r="C458" t="s">
        <v>36</v>
      </c>
      <c r="D458" t="s">
        <v>396</v>
      </c>
      <c r="E458" t="s">
        <v>404</v>
      </c>
      <c r="F458" t="s">
        <v>49</v>
      </c>
      <c r="G458" t="s">
        <v>40</v>
      </c>
      <c r="H458">
        <v>4</v>
      </c>
      <c r="I458" s="5">
        <v>273256</v>
      </c>
      <c r="J458" s="5">
        <v>38341</v>
      </c>
      <c r="K458" s="5">
        <v>234915</v>
      </c>
      <c r="L458" s="5">
        <v>153716</v>
      </c>
      <c r="M458" s="5">
        <v>14493</v>
      </c>
      <c r="N458" s="5">
        <v>0</v>
      </c>
      <c r="O458" s="5">
        <v>35088</v>
      </c>
      <c r="P458" s="5">
        <v>31618</v>
      </c>
      <c r="Q458">
        <v>4</v>
      </c>
      <c r="R458" t="s">
        <v>41</v>
      </c>
    </row>
    <row r="459" spans="1:18">
      <c r="A459" t="s">
        <v>517</v>
      </c>
      <c r="B459" s="4">
        <v>46181</v>
      </c>
      <c r="C459" t="s">
        <v>36</v>
      </c>
      <c r="D459" t="s">
        <v>396</v>
      </c>
      <c r="E459" t="s">
        <v>402</v>
      </c>
      <c r="F459" t="s">
        <v>46</v>
      </c>
      <c r="G459" t="s">
        <v>43</v>
      </c>
      <c r="H459">
        <v>2</v>
      </c>
      <c r="I459" s="5">
        <v>167398</v>
      </c>
      <c r="J459" s="5">
        <v>22721</v>
      </c>
      <c r="K459" s="5">
        <v>144677</v>
      </c>
      <c r="L459" s="5">
        <v>82099</v>
      </c>
      <c r="M459" s="5">
        <v>9951</v>
      </c>
      <c r="N459" s="5">
        <v>0</v>
      </c>
      <c r="O459" s="5">
        <v>23692</v>
      </c>
      <c r="P459" s="5">
        <v>28935</v>
      </c>
      <c r="Q459">
        <v>1</v>
      </c>
      <c r="R459" t="s">
        <v>41</v>
      </c>
    </row>
    <row r="460" spans="1:18">
      <c r="A460" t="s">
        <v>518</v>
      </c>
      <c r="B460" s="4">
        <v>46201</v>
      </c>
      <c r="C460" t="s">
        <v>36</v>
      </c>
      <c r="D460" t="s">
        <v>396</v>
      </c>
      <c r="E460" t="s">
        <v>402</v>
      </c>
      <c r="F460" t="s">
        <v>46</v>
      </c>
      <c r="G460" t="s">
        <v>43</v>
      </c>
      <c r="H460">
        <v>5</v>
      </c>
      <c r="I460" s="5">
        <v>268097</v>
      </c>
      <c r="J460" s="5">
        <v>20916</v>
      </c>
      <c r="K460" s="5">
        <v>247181</v>
      </c>
      <c r="L460" s="5">
        <v>173597</v>
      </c>
      <c r="M460" s="5">
        <v>17040</v>
      </c>
      <c r="N460" s="5">
        <v>0</v>
      </c>
      <c r="O460" s="5">
        <v>35504</v>
      </c>
      <c r="P460" s="5">
        <v>21040</v>
      </c>
      <c r="Q460">
        <v>2</v>
      </c>
      <c r="R460" t="s">
        <v>41</v>
      </c>
    </row>
    <row r="461" spans="1:18">
      <c r="A461" t="s">
        <v>519</v>
      </c>
      <c r="B461" s="4">
        <v>46175</v>
      </c>
      <c r="C461" t="s">
        <v>36</v>
      </c>
      <c r="D461" t="s">
        <v>396</v>
      </c>
      <c r="E461" t="s">
        <v>397</v>
      </c>
      <c r="F461" t="s">
        <v>49</v>
      </c>
      <c r="G461" t="s">
        <v>43</v>
      </c>
      <c r="H461">
        <v>3</v>
      </c>
      <c r="I461" s="5">
        <v>131480</v>
      </c>
      <c r="J461" s="5">
        <v>13487</v>
      </c>
      <c r="K461" s="5">
        <v>117993</v>
      </c>
      <c r="L461" s="5">
        <v>73094</v>
      </c>
      <c r="M461" s="5">
        <v>8844</v>
      </c>
      <c r="N461" s="5">
        <v>0</v>
      </c>
      <c r="O461" s="5">
        <v>16803</v>
      </c>
      <c r="P461" s="5">
        <v>19252</v>
      </c>
      <c r="Q461">
        <v>2</v>
      </c>
      <c r="R461" t="s">
        <v>41</v>
      </c>
    </row>
    <row r="462" spans="1:18">
      <c r="A462" t="s">
        <v>520</v>
      </c>
      <c r="B462" s="4">
        <v>46189</v>
      </c>
      <c r="C462" t="s">
        <v>36</v>
      </c>
      <c r="D462" t="s">
        <v>396</v>
      </c>
      <c r="E462" t="s">
        <v>402</v>
      </c>
      <c r="F462" t="s">
        <v>39</v>
      </c>
      <c r="G462" t="s">
        <v>43</v>
      </c>
      <c r="H462">
        <v>6</v>
      </c>
      <c r="I462" s="5">
        <v>246693</v>
      </c>
      <c r="J462" s="5">
        <v>12045</v>
      </c>
      <c r="K462" s="5">
        <v>234648</v>
      </c>
      <c r="L462" s="5">
        <v>152554</v>
      </c>
      <c r="M462" s="5">
        <v>21536</v>
      </c>
      <c r="N462" s="5">
        <v>7530</v>
      </c>
      <c r="O462" s="5">
        <v>37613</v>
      </c>
      <c r="P462" s="5">
        <v>15415</v>
      </c>
      <c r="Q462">
        <v>2</v>
      </c>
      <c r="R462" t="s">
        <v>53</v>
      </c>
    </row>
    <row r="463" spans="1:18">
      <c r="A463" t="s">
        <v>521</v>
      </c>
      <c r="B463" s="4">
        <v>46194</v>
      </c>
      <c r="C463" t="s">
        <v>36</v>
      </c>
      <c r="D463" t="s">
        <v>396</v>
      </c>
      <c r="E463" t="s">
        <v>397</v>
      </c>
      <c r="F463" t="s">
        <v>51</v>
      </c>
      <c r="G463" t="s">
        <v>40</v>
      </c>
      <c r="H463">
        <v>4</v>
      </c>
      <c r="I463" s="5">
        <v>135446</v>
      </c>
      <c r="J463" s="5">
        <v>13794</v>
      </c>
      <c r="K463" s="5">
        <v>121652</v>
      </c>
      <c r="L463" s="5">
        <v>75650</v>
      </c>
      <c r="M463" s="5">
        <v>9586</v>
      </c>
      <c r="N463" s="5">
        <v>0</v>
      </c>
      <c r="O463" s="5">
        <v>15158</v>
      </c>
      <c r="P463" s="5">
        <v>21258</v>
      </c>
      <c r="Q463">
        <v>3</v>
      </c>
      <c r="R463" t="s">
        <v>41</v>
      </c>
    </row>
    <row r="464" spans="1:18">
      <c r="A464" t="s">
        <v>522</v>
      </c>
      <c r="B464" s="4">
        <v>46153</v>
      </c>
      <c r="C464" t="s">
        <v>36</v>
      </c>
      <c r="D464" t="s">
        <v>396</v>
      </c>
      <c r="E464" t="s">
        <v>399</v>
      </c>
      <c r="F464" t="s">
        <v>49</v>
      </c>
      <c r="G464" t="s">
        <v>43</v>
      </c>
      <c r="H464">
        <v>4</v>
      </c>
      <c r="I464" s="5">
        <v>179556</v>
      </c>
      <c r="J464" s="5">
        <v>13623</v>
      </c>
      <c r="K464" s="5">
        <v>165933</v>
      </c>
      <c r="L464" s="5">
        <v>110934</v>
      </c>
      <c r="M464" s="5">
        <v>10278</v>
      </c>
      <c r="N464" s="5">
        <v>0</v>
      </c>
      <c r="O464" s="5">
        <v>30335</v>
      </c>
      <c r="P464" s="5">
        <v>14386</v>
      </c>
      <c r="Q464">
        <v>3</v>
      </c>
      <c r="R464" t="s">
        <v>41</v>
      </c>
    </row>
    <row r="465" spans="1:18">
      <c r="A465" t="s">
        <v>523</v>
      </c>
      <c r="B465" s="4">
        <v>46178</v>
      </c>
      <c r="C465" t="s">
        <v>36</v>
      </c>
      <c r="D465" t="s">
        <v>396</v>
      </c>
      <c r="E465" t="s">
        <v>402</v>
      </c>
      <c r="F465" t="s">
        <v>51</v>
      </c>
      <c r="G465" t="s">
        <v>43</v>
      </c>
      <c r="H465">
        <v>1</v>
      </c>
      <c r="I465" s="5">
        <v>164323</v>
      </c>
      <c r="J465" s="5">
        <v>15508</v>
      </c>
      <c r="K465" s="5">
        <v>148815</v>
      </c>
      <c r="L465" s="5">
        <v>99916</v>
      </c>
      <c r="M465" s="5">
        <v>10822</v>
      </c>
      <c r="N465" s="5">
        <v>0</v>
      </c>
      <c r="O465" s="5">
        <v>19171</v>
      </c>
      <c r="P465" s="5">
        <v>18906</v>
      </c>
      <c r="Q465">
        <v>1</v>
      </c>
      <c r="R465" t="s">
        <v>41</v>
      </c>
    </row>
    <row r="466" spans="1:18">
      <c r="A466" t="s">
        <v>524</v>
      </c>
      <c r="B466" s="4">
        <v>46158</v>
      </c>
      <c r="C466" t="s">
        <v>36</v>
      </c>
      <c r="D466" t="s">
        <v>396</v>
      </c>
      <c r="E466" t="s">
        <v>397</v>
      </c>
      <c r="F466" t="s">
        <v>39</v>
      </c>
      <c r="G466" t="s">
        <v>40</v>
      </c>
      <c r="H466">
        <v>2</v>
      </c>
      <c r="I466" s="5">
        <v>346832</v>
      </c>
      <c r="J466" s="5">
        <v>27721</v>
      </c>
      <c r="K466" s="5">
        <v>319111</v>
      </c>
      <c r="L466" s="5">
        <v>189046</v>
      </c>
      <c r="M466" s="5">
        <v>24331</v>
      </c>
      <c r="N466" s="5">
        <v>0</v>
      </c>
      <c r="O466" s="5">
        <v>62691</v>
      </c>
      <c r="P466" s="5">
        <v>43043</v>
      </c>
      <c r="Q466">
        <v>4</v>
      </c>
      <c r="R466" t="s">
        <v>41</v>
      </c>
    </row>
    <row r="467" spans="1:18">
      <c r="A467" t="s">
        <v>525</v>
      </c>
      <c r="B467" s="4">
        <v>46168</v>
      </c>
      <c r="C467" t="s">
        <v>36</v>
      </c>
      <c r="D467" t="s">
        <v>396</v>
      </c>
      <c r="E467" t="s">
        <v>404</v>
      </c>
      <c r="F467" t="s">
        <v>51</v>
      </c>
      <c r="G467" t="s">
        <v>43</v>
      </c>
      <c r="H467">
        <v>2</v>
      </c>
      <c r="I467" s="5">
        <v>257987</v>
      </c>
      <c r="J467" s="5">
        <v>17411</v>
      </c>
      <c r="K467" s="5">
        <v>240576</v>
      </c>
      <c r="L467" s="5">
        <v>150034</v>
      </c>
      <c r="M467" s="5">
        <v>18028</v>
      </c>
      <c r="N467" s="5">
        <v>0</v>
      </c>
      <c r="O467" s="5">
        <v>35715</v>
      </c>
      <c r="P467" s="5">
        <v>36799</v>
      </c>
      <c r="Q467">
        <v>4</v>
      </c>
      <c r="R467" t="s">
        <v>41</v>
      </c>
    </row>
    <row r="468" spans="1:18">
      <c r="A468" t="s">
        <v>526</v>
      </c>
      <c r="B468" s="4">
        <v>46198</v>
      </c>
      <c r="C468" t="s">
        <v>36</v>
      </c>
      <c r="D468" t="s">
        <v>396</v>
      </c>
      <c r="E468" t="s">
        <v>404</v>
      </c>
      <c r="F468" t="s">
        <v>51</v>
      </c>
      <c r="G468" t="s">
        <v>40</v>
      </c>
      <c r="H468">
        <v>1</v>
      </c>
      <c r="I468" s="5">
        <v>265411</v>
      </c>
      <c r="J468" s="5">
        <v>32659</v>
      </c>
      <c r="K468" s="5">
        <v>232752</v>
      </c>
      <c r="L468" s="5">
        <v>158913</v>
      </c>
      <c r="M468" s="5">
        <v>19488</v>
      </c>
      <c r="N468" s="5">
        <v>0</v>
      </c>
      <c r="O468" s="5">
        <v>29818</v>
      </c>
      <c r="P468" s="5">
        <v>24533</v>
      </c>
      <c r="Q468">
        <v>4</v>
      </c>
      <c r="R468" t="s">
        <v>41</v>
      </c>
    </row>
    <row r="469" spans="1:18">
      <c r="A469" t="s">
        <v>527</v>
      </c>
      <c r="B469" s="4">
        <v>46130</v>
      </c>
      <c r="C469" t="s">
        <v>36</v>
      </c>
      <c r="D469" t="s">
        <v>396</v>
      </c>
      <c r="E469" t="s">
        <v>397</v>
      </c>
      <c r="F469" t="s">
        <v>51</v>
      </c>
      <c r="G469" t="s">
        <v>43</v>
      </c>
      <c r="H469">
        <v>4</v>
      </c>
      <c r="I469" s="5">
        <v>125873</v>
      </c>
      <c r="J469" s="5">
        <v>12382</v>
      </c>
      <c r="K469" s="5">
        <v>113491</v>
      </c>
      <c r="L469" s="5">
        <v>68969</v>
      </c>
      <c r="M469" s="5">
        <v>7836</v>
      </c>
      <c r="N469" s="5">
        <v>0</v>
      </c>
      <c r="O469" s="5">
        <v>13988</v>
      </c>
      <c r="P469" s="5">
        <v>22698</v>
      </c>
      <c r="Q469">
        <v>3</v>
      </c>
      <c r="R469" t="s">
        <v>41</v>
      </c>
    </row>
    <row r="470" spans="1:18">
      <c r="A470" t="s">
        <v>528</v>
      </c>
      <c r="B470" s="4">
        <v>46167</v>
      </c>
      <c r="C470" t="s">
        <v>36</v>
      </c>
      <c r="D470" t="s">
        <v>396</v>
      </c>
      <c r="E470" t="s">
        <v>402</v>
      </c>
      <c r="F470" t="s">
        <v>46</v>
      </c>
      <c r="G470" t="s">
        <v>43</v>
      </c>
      <c r="H470">
        <v>2</v>
      </c>
      <c r="I470" s="5">
        <v>314843</v>
      </c>
      <c r="J470" s="5">
        <v>47965</v>
      </c>
      <c r="K470" s="5">
        <v>266878</v>
      </c>
      <c r="L470" s="5">
        <v>179969</v>
      </c>
      <c r="M470" s="5">
        <v>20013</v>
      </c>
      <c r="N470" s="5">
        <v>0</v>
      </c>
      <c r="O470" s="5">
        <v>35664</v>
      </c>
      <c r="P470" s="5">
        <v>31232</v>
      </c>
      <c r="Q470">
        <v>2</v>
      </c>
      <c r="R470" t="s">
        <v>41</v>
      </c>
    </row>
    <row r="471" spans="1:18">
      <c r="A471" t="s">
        <v>529</v>
      </c>
      <c r="B471" s="4">
        <v>46177</v>
      </c>
      <c r="C471" t="s">
        <v>36</v>
      </c>
      <c r="D471" t="s">
        <v>396</v>
      </c>
      <c r="E471" t="s">
        <v>399</v>
      </c>
      <c r="F471" t="s">
        <v>46</v>
      </c>
      <c r="G471" t="s">
        <v>43</v>
      </c>
      <c r="H471">
        <v>1</v>
      </c>
      <c r="I471" s="5">
        <v>291787</v>
      </c>
      <c r="J471" s="5">
        <v>37558</v>
      </c>
      <c r="K471" s="5">
        <v>254229</v>
      </c>
      <c r="L471" s="5">
        <v>164675</v>
      </c>
      <c r="M471" s="5">
        <v>21117</v>
      </c>
      <c r="N471" s="5">
        <v>0</v>
      </c>
      <c r="O471" s="5">
        <v>39170</v>
      </c>
      <c r="P471" s="5">
        <v>29267</v>
      </c>
      <c r="Q471">
        <v>5</v>
      </c>
      <c r="R471" t="s">
        <v>41</v>
      </c>
    </row>
    <row r="472" spans="1:18">
      <c r="A472" t="s">
        <v>530</v>
      </c>
      <c r="B472" s="4">
        <v>46201</v>
      </c>
      <c r="C472" t="s">
        <v>36</v>
      </c>
      <c r="D472" t="s">
        <v>396</v>
      </c>
      <c r="E472" t="s">
        <v>397</v>
      </c>
      <c r="F472" t="s">
        <v>51</v>
      </c>
      <c r="G472" t="s">
        <v>43</v>
      </c>
      <c r="H472">
        <v>4</v>
      </c>
      <c r="I472" s="5">
        <v>202879</v>
      </c>
      <c r="J472" s="5">
        <v>31433</v>
      </c>
      <c r="K472" s="5">
        <v>171446</v>
      </c>
      <c r="L472" s="5">
        <v>101967</v>
      </c>
      <c r="M472" s="5">
        <v>8850</v>
      </c>
      <c r="N472" s="5">
        <v>0</v>
      </c>
      <c r="O472" s="5">
        <v>26340</v>
      </c>
      <c r="P472" s="5">
        <v>34289</v>
      </c>
      <c r="Q472">
        <v>3</v>
      </c>
      <c r="R472" t="s">
        <v>41</v>
      </c>
    </row>
    <row r="473" spans="1:18">
      <c r="A473" t="s">
        <v>531</v>
      </c>
      <c r="B473" s="4">
        <v>46197</v>
      </c>
      <c r="C473" t="s">
        <v>36</v>
      </c>
      <c r="D473" t="s">
        <v>396</v>
      </c>
      <c r="E473" t="s">
        <v>397</v>
      </c>
      <c r="F473" t="s">
        <v>49</v>
      </c>
      <c r="G473" t="s">
        <v>43</v>
      </c>
      <c r="H473">
        <v>5</v>
      </c>
      <c r="I473" s="5">
        <v>137479</v>
      </c>
      <c r="J473" s="5">
        <v>9298</v>
      </c>
      <c r="K473" s="5">
        <v>128181</v>
      </c>
      <c r="L473" s="5">
        <v>82184</v>
      </c>
      <c r="M473" s="5">
        <v>7806</v>
      </c>
      <c r="N473" s="5">
        <v>0</v>
      </c>
      <c r="O473" s="5">
        <v>21840</v>
      </c>
      <c r="P473" s="5">
        <v>16351</v>
      </c>
      <c r="Q473">
        <v>3</v>
      </c>
      <c r="R473" t="s">
        <v>41</v>
      </c>
    </row>
    <row r="474" spans="1:18">
      <c r="A474" t="s">
        <v>532</v>
      </c>
      <c r="B474" s="4">
        <v>46173</v>
      </c>
      <c r="C474" t="s">
        <v>36</v>
      </c>
      <c r="D474" t="s">
        <v>396</v>
      </c>
      <c r="E474" t="s">
        <v>399</v>
      </c>
      <c r="F474" t="s">
        <v>46</v>
      </c>
      <c r="G474" t="s">
        <v>43</v>
      </c>
      <c r="H474">
        <v>3</v>
      </c>
      <c r="I474" s="5">
        <v>241633</v>
      </c>
      <c r="J474" s="5">
        <v>33916</v>
      </c>
      <c r="K474" s="5">
        <v>207717</v>
      </c>
      <c r="L474" s="5">
        <v>143072</v>
      </c>
      <c r="M474" s="5">
        <v>15022</v>
      </c>
      <c r="N474" s="5">
        <v>0</v>
      </c>
      <c r="O474" s="5">
        <v>32652</v>
      </c>
      <c r="P474" s="5">
        <v>16971</v>
      </c>
      <c r="Q474">
        <v>4</v>
      </c>
      <c r="R474" t="s">
        <v>41</v>
      </c>
    </row>
    <row r="475" spans="1:18">
      <c r="A475" t="s">
        <v>533</v>
      </c>
      <c r="B475" s="4">
        <v>46185</v>
      </c>
      <c r="C475" t="s">
        <v>36</v>
      </c>
      <c r="D475" t="s">
        <v>396</v>
      </c>
      <c r="E475" t="s">
        <v>399</v>
      </c>
      <c r="F475" t="s">
        <v>61</v>
      </c>
      <c r="G475" t="s">
        <v>43</v>
      </c>
      <c r="H475">
        <v>5</v>
      </c>
      <c r="I475" s="5">
        <v>366102</v>
      </c>
      <c r="J475" s="5">
        <v>39433</v>
      </c>
      <c r="K475" s="5">
        <v>326669</v>
      </c>
      <c r="L475" s="5">
        <v>232053</v>
      </c>
      <c r="M475" s="5">
        <v>27362</v>
      </c>
      <c r="N475" s="5">
        <v>0</v>
      </c>
      <c r="O475" s="5">
        <v>44695</v>
      </c>
      <c r="P475" s="5">
        <v>22559</v>
      </c>
      <c r="Q475">
        <v>4</v>
      </c>
      <c r="R475" t="s">
        <v>41</v>
      </c>
    </row>
    <row r="476" spans="1:18">
      <c r="A476" t="s">
        <v>534</v>
      </c>
      <c r="B476" s="4">
        <v>46149</v>
      </c>
      <c r="C476" t="s">
        <v>36</v>
      </c>
      <c r="D476" t="s">
        <v>396</v>
      </c>
      <c r="E476" t="s">
        <v>402</v>
      </c>
      <c r="F476" t="s">
        <v>61</v>
      </c>
      <c r="G476" t="s">
        <v>40</v>
      </c>
      <c r="H476">
        <v>5</v>
      </c>
      <c r="I476" s="5">
        <v>338301</v>
      </c>
      <c r="J476" s="5">
        <v>39090</v>
      </c>
      <c r="K476" s="5">
        <v>299211</v>
      </c>
      <c r="L476" s="5">
        <v>200722</v>
      </c>
      <c r="M476" s="5">
        <v>24102</v>
      </c>
      <c r="N476" s="5">
        <v>0</v>
      </c>
      <c r="O476" s="5">
        <v>36148</v>
      </c>
      <c r="P476" s="5">
        <v>38239</v>
      </c>
      <c r="Q476">
        <v>4</v>
      </c>
      <c r="R476" t="s">
        <v>41</v>
      </c>
    </row>
    <row r="477" spans="1:18">
      <c r="A477" t="s">
        <v>535</v>
      </c>
      <c r="B477" s="4">
        <v>46145</v>
      </c>
      <c r="C477" t="s">
        <v>36</v>
      </c>
      <c r="D477" t="s">
        <v>396</v>
      </c>
      <c r="E477" t="s">
        <v>397</v>
      </c>
      <c r="F477" t="s">
        <v>61</v>
      </c>
      <c r="G477" t="s">
        <v>40</v>
      </c>
      <c r="H477">
        <v>5</v>
      </c>
      <c r="I477" s="5">
        <v>175581</v>
      </c>
      <c r="J477" s="5">
        <v>28839</v>
      </c>
      <c r="K477" s="5">
        <v>146742</v>
      </c>
      <c r="L477" s="5">
        <v>82490</v>
      </c>
      <c r="M477" s="5">
        <v>9935</v>
      </c>
      <c r="N477" s="5">
        <v>0</v>
      </c>
      <c r="O477" s="5">
        <v>24969</v>
      </c>
      <c r="P477" s="5">
        <v>29348</v>
      </c>
      <c r="Q477">
        <v>4</v>
      </c>
      <c r="R477" t="s">
        <v>41</v>
      </c>
    </row>
    <row r="478" spans="1:18">
      <c r="A478" t="s">
        <v>536</v>
      </c>
      <c r="B478" s="4">
        <v>46143</v>
      </c>
      <c r="C478" t="s">
        <v>36</v>
      </c>
      <c r="D478" t="s">
        <v>396</v>
      </c>
      <c r="E478" t="s">
        <v>402</v>
      </c>
      <c r="F478" t="s">
        <v>51</v>
      </c>
      <c r="G478" t="s">
        <v>40</v>
      </c>
      <c r="H478">
        <v>3</v>
      </c>
      <c r="I478" s="5">
        <v>325808</v>
      </c>
      <c r="J478" s="5">
        <v>34680</v>
      </c>
      <c r="K478" s="5">
        <v>291128</v>
      </c>
      <c r="L478" s="5">
        <v>190260</v>
      </c>
      <c r="M478" s="5">
        <v>17875</v>
      </c>
      <c r="N478" s="5">
        <v>0</v>
      </c>
      <c r="O478" s="5">
        <v>58605</v>
      </c>
      <c r="P478" s="5">
        <v>24388</v>
      </c>
      <c r="Q478">
        <v>1</v>
      </c>
      <c r="R478" t="s">
        <v>41</v>
      </c>
    </row>
    <row r="479" spans="1:18">
      <c r="A479" t="s">
        <v>537</v>
      </c>
      <c r="B479" s="4">
        <v>46165</v>
      </c>
      <c r="C479" t="s">
        <v>36</v>
      </c>
      <c r="D479" t="s">
        <v>396</v>
      </c>
      <c r="E479" t="s">
        <v>402</v>
      </c>
      <c r="F479" t="s">
        <v>51</v>
      </c>
      <c r="G479" t="s">
        <v>43</v>
      </c>
      <c r="H479">
        <v>6</v>
      </c>
      <c r="I479" s="5">
        <v>301541</v>
      </c>
      <c r="J479" s="5">
        <v>60641</v>
      </c>
      <c r="K479" s="5">
        <v>240900</v>
      </c>
      <c r="L479" s="5">
        <v>145854</v>
      </c>
      <c r="M479" s="5">
        <v>18464</v>
      </c>
      <c r="N479" s="5">
        <v>0</v>
      </c>
      <c r="O479" s="5">
        <v>34503</v>
      </c>
      <c r="P479" s="5">
        <v>42079</v>
      </c>
      <c r="Q479">
        <v>3</v>
      </c>
      <c r="R479" t="s">
        <v>41</v>
      </c>
    </row>
    <row r="480" spans="1:18">
      <c r="A480" t="s">
        <v>538</v>
      </c>
      <c r="B480" s="4">
        <v>46127</v>
      </c>
      <c r="C480" t="s">
        <v>36</v>
      </c>
      <c r="D480" t="s">
        <v>396</v>
      </c>
      <c r="E480" t="s">
        <v>397</v>
      </c>
      <c r="F480" t="s">
        <v>51</v>
      </c>
      <c r="G480" t="s">
        <v>43</v>
      </c>
      <c r="H480">
        <v>4</v>
      </c>
      <c r="I480" s="5">
        <v>312825</v>
      </c>
      <c r="J480" s="5">
        <v>29520</v>
      </c>
      <c r="K480" s="5">
        <v>283305</v>
      </c>
      <c r="L480" s="5">
        <v>194711</v>
      </c>
      <c r="M480" s="5">
        <v>19260</v>
      </c>
      <c r="N480" s="5">
        <v>0</v>
      </c>
      <c r="O480" s="5">
        <v>47004</v>
      </c>
      <c r="P480" s="5">
        <v>22330</v>
      </c>
      <c r="Q480">
        <v>2</v>
      </c>
      <c r="R480" t="s">
        <v>41</v>
      </c>
    </row>
    <row r="481" spans="1:18">
      <c r="A481" t="s">
        <v>539</v>
      </c>
      <c r="B481" s="4">
        <v>46200</v>
      </c>
      <c r="C481" t="s">
        <v>36</v>
      </c>
      <c r="D481" t="s">
        <v>396</v>
      </c>
      <c r="E481" t="s">
        <v>402</v>
      </c>
      <c r="F481" t="s">
        <v>46</v>
      </c>
      <c r="G481" t="s">
        <v>43</v>
      </c>
      <c r="H481">
        <v>2</v>
      </c>
      <c r="I481" s="5">
        <v>310920</v>
      </c>
      <c r="J481" s="5">
        <v>21962</v>
      </c>
      <c r="K481" s="5">
        <v>288958</v>
      </c>
      <c r="L481" s="5">
        <v>196801</v>
      </c>
      <c r="M481" s="5">
        <v>24916</v>
      </c>
      <c r="N481" s="5">
        <v>0</v>
      </c>
      <c r="O481" s="5">
        <v>35425</v>
      </c>
      <c r="P481" s="5">
        <v>31816</v>
      </c>
      <c r="Q481">
        <v>3</v>
      </c>
      <c r="R481" t="s">
        <v>41</v>
      </c>
    </row>
    <row r="482" spans="1:18">
      <c r="A482" t="s">
        <v>540</v>
      </c>
      <c r="B482" s="4">
        <v>46261</v>
      </c>
      <c r="C482" t="s">
        <v>541</v>
      </c>
      <c r="D482" t="s">
        <v>37</v>
      </c>
      <c r="E482" t="s">
        <v>45</v>
      </c>
      <c r="F482" t="s">
        <v>61</v>
      </c>
      <c r="G482" t="s">
        <v>40</v>
      </c>
      <c r="H482">
        <v>4</v>
      </c>
      <c r="I482" s="5">
        <v>372186</v>
      </c>
      <c r="J482" s="5">
        <v>74031</v>
      </c>
      <c r="K482" s="5">
        <v>298155</v>
      </c>
      <c r="L482" s="5">
        <v>211186</v>
      </c>
      <c r="M482" s="5">
        <v>26987</v>
      </c>
      <c r="N482" s="5">
        <v>0</v>
      </c>
      <c r="O482" s="5">
        <v>51969</v>
      </c>
      <c r="P482" s="5">
        <v>8013</v>
      </c>
      <c r="Q482">
        <v>4</v>
      </c>
      <c r="R482" t="s">
        <v>41</v>
      </c>
    </row>
    <row r="483" spans="1:18">
      <c r="A483" t="s">
        <v>542</v>
      </c>
      <c r="B483" s="4">
        <v>46218</v>
      </c>
      <c r="C483" t="s">
        <v>541</v>
      </c>
      <c r="D483" t="s">
        <v>37</v>
      </c>
      <c r="E483" t="s">
        <v>38</v>
      </c>
      <c r="F483" t="s">
        <v>46</v>
      </c>
      <c r="G483" t="s">
        <v>40</v>
      </c>
      <c r="H483">
        <v>2</v>
      </c>
      <c r="I483" s="5">
        <v>342239</v>
      </c>
      <c r="J483" s="5">
        <v>71777</v>
      </c>
      <c r="K483" s="5">
        <v>270462</v>
      </c>
      <c r="L483" s="5">
        <v>180151</v>
      </c>
      <c r="M483" s="5">
        <v>25448</v>
      </c>
      <c r="N483" s="5">
        <v>9469</v>
      </c>
      <c r="O483" s="5">
        <v>43736</v>
      </c>
      <c r="P483" s="5">
        <v>11658</v>
      </c>
      <c r="Q483">
        <v>7</v>
      </c>
      <c r="R483" t="s">
        <v>53</v>
      </c>
    </row>
    <row r="484" spans="1:18">
      <c r="A484" t="s">
        <v>543</v>
      </c>
      <c r="B484" s="4">
        <v>46220</v>
      </c>
      <c r="C484" t="s">
        <v>541</v>
      </c>
      <c r="D484" t="s">
        <v>37</v>
      </c>
      <c r="E484" t="s">
        <v>55</v>
      </c>
      <c r="F484" t="s">
        <v>39</v>
      </c>
      <c r="G484" t="s">
        <v>43</v>
      </c>
      <c r="H484">
        <v>4</v>
      </c>
      <c r="I484" s="5">
        <v>262714</v>
      </c>
      <c r="J484" s="5">
        <v>34479</v>
      </c>
      <c r="K484" s="5">
        <v>228235</v>
      </c>
      <c r="L484" s="5">
        <v>156401</v>
      </c>
      <c r="M484" s="5">
        <v>21871</v>
      </c>
      <c r="N484" s="5">
        <v>0</v>
      </c>
      <c r="O484" s="5">
        <v>43139</v>
      </c>
      <c r="P484" s="5">
        <v>6824</v>
      </c>
      <c r="Q484">
        <v>5</v>
      </c>
      <c r="R484" t="s">
        <v>41</v>
      </c>
    </row>
    <row r="485" spans="1:18">
      <c r="A485" t="s">
        <v>544</v>
      </c>
      <c r="B485" s="4">
        <v>46270</v>
      </c>
      <c r="C485" t="s">
        <v>541</v>
      </c>
      <c r="D485" t="s">
        <v>37</v>
      </c>
      <c r="E485" t="s">
        <v>45</v>
      </c>
      <c r="F485" t="s">
        <v>46</v>
      </c>
      <c r="G485" t="s">
        <v>43</v>
      </c>
      <c r="H485">
        <v>6</v>
      </c>
      <c r="I485" s="5">
        <v>457457</v>
      </c>
      <c r="J485" s="5">
        <v>82085</v>
      </c>
      <c r="K485" s="5">
        <v>375372</v>
      </c>
      <c r="L485" s="5">
        <v>251943</v>
      </c>
      <c r="M485" s="5">
        <v>22006</v>
      </c>
      <c r="N485" s="5">
        <v>0</v>
      </c>
      <c r="O485" s="5">
        <v>87512</v>
      </c>
      <c r="P485" s="5">
        <v>13911</v>
      </c>
      <c r="Q485">
        <v>5</v>
      </c>
      <c r="R485" t="s">
        <v>41</v>
      </c>
    </row>
    <row r="486" spans="1:18">
      <c r="A486" t="s">
        <v>545</v>
      </c>
      <c r="B486" s="4">
        <v>46260</v>
      </c>
      <c r="C486" t="s">
        <v>541</v>
      </c>
      <c r="D486" t="s">
        <v>37</v>
      </c>
      <c r="E486" t="s">
        <v>55</v>
      </c>
      <c r="F486" t="s">
        <v>39</v>
      </c>
      <c r="G486" t="s">
        <v>40</v>
      </c>
      <c r="H486">
        <v>3</v>
      </c>
      <c r="I486" s="5">
        <v>304213</v>
      </c>
      <c r="J486" s="5">
        <v>49008</v>
      </c>
      <c r="K486" s="5">
        <v>255205</v>
      </c>
      <c r="L486" s="5">
        <v>178221</v>
      </c>
      <c r="M486" s="5">
        <v>21354</v>
      </c>
      <c r="N486" s="5">
        <v>0</v>
      </c>
      <c r="O486" s="5">
        <v>43431</v>
      </c>
      <c r="P486" s="5">
        <v>12199</v>
      </c>
      <c r="Q486">
        <v>5</v>
      </c>
      <c r="R486" t="s">
        <v>41</v>
      </c>
    </row>
    <row r="487" spans="1:18">
      <c r="A487" t="s">
        <v>546</v>
      </c>
      <c r="B487" s="4">
        <v>46210</v>
      </c>
      <c r="C487" t="s">
        <v>541</v>
      </c>
      <c r="D487" t="s">
        <v>37</v>
      </c>
      <c r="E487" t="s">
        <v>38</v>
      </c>
      <c r="F487" t="s">
        <v>39</v>
      </c>
      <c r="G487" t="s">
        <v>43</v>
      </c>
      <c r="H487">
        <v>4</v>
      </c>
      <c r="I487" s="5">
        <v>292399</v>
      </c>
      <c r="J487" s="5">
        <v>56382</v>
      </c>
      <c r="K487" s="5">
        <v>236017</v>
      </c>
      <c r="L487" s="5">
        <v>163947</v>
      </c>
      <c r="M487" s="5">
        <v>22392</v>
      </c>
      <c r="N487" s="5">
        <v>0</v>
      </c>
      <c r="O487" s="5">
        <v>40238</v>
      </c>
      <c r="P487" s="5">
        <v>9440</v>
      </c>
      <c r="Q487">
        <v>7</v>
      </c>
      <c r="R487" t="s">
        <v>41</v>
      </c>
    </row>
    <row r="488" spans="1:18">
      <c r="A488" t="s">
        <v>547</v>
      </c>
      <c r="B488" s="4">
        <v>46294</v>
      </c>
      <c r="C488" t="s">
        <v>541</v>
      </c>
      <c r="D488" t="s">
        <v>37</v>
      </c>
      <c r="E488" t="s">
        <v>38</v>
      </c>
      <c r="F488" t="s">
        <v>51</v>
      </c>
      <c r="G488" t="s">
        <v>40</v>
      </c>
      <c r="H488">
        <v>1</v>
      </c>
      <c r="I488" s="5">
        <v>385527</v>
      </c>
      <c r="J488" s="5">
        <v>87426</v>
      </c>
      <c r="K488" s="5">
        <v>298101</v>
      </c>
      <c r="L488" s="5">
        <v>202100</v>
      </c>
      <c r="M488" s="5">
        <v>23692</v>
      </c>
      <c r="N488" s="5">
        <v>10771</v>
      </c>
      <c r="O488" s="5">
        <v>54451</v>
      </c>
      <c r="P488" s="5">
        <v>7087</v>
      </c>
      <c r="Q488">
        <v>5</v>
      </c>
      <c r="R488" t="s">
        <v>53</v>
      </c>
    </row>
    <row r="489" spans="1:18">
      <c r="A489" t="s">
        <v>548</v>
      </c>
      <c r="B489" s="4">
        <v>46208</v>
      </c>
      <c r="C489" t="s">
        <v>541</v>
      </c>
      <c r="D489" t="s">
        <v>37</v>
      </c>
      <c r="E489" t="s">
        <v>45</v>
      </c>
      <c r="F489" t="s">
        <v>39</v>
      </c>
      <c r="G489" t="s">
        <v>40</v>
      </c>
      <c r="H489">
        <v>3</v>
      </c>
      <c r="I489" s="5">
        <v>532910</v>
      </c>
      <c r="J489" s="5">
        <v>111658</v>
      </c>
      <c r="K489" s="5">
        <v>421252</v>
      </c>
      <c r="L489" s="5">
        <v>280968</v>
      </c>
      <c r="M489" s="5">
        <v>28616</v>
      </c>
      <c r="N489" s="5">
        <v>21335</v>
      </c>
      <c r="O489" s="5">
        <v>75468</v>
      </c>
      <c r="P489" s="5">
        <v>14865</v>
      </c>
      <c r="Q489">
        <v>6</v>
      </c>
      <c r="R489" t="s">
        <v>53</v>
      </c>
    </row>
    <row r="490" spans="1:18">
      <c r="A490" t="s">
        <v>549</v>
      </c>
      <c r="B490" s="4">
        <v>46222</v>
      </c>
      <c r="C490" t="s">
        <v>541</v>
      </c>
      <c r="D490" t="s">
        <v>37</v>
      </c>
      <c r="E490" t="s">
        <v>55</v>
      </c>
      <c r="F490" t="s">
        <v>39</v>
      </c>
      <c r="G490" t="s">
        <v>40</v>
      </c>
      <c r="H490">
        <v>1</v>
      </c>
      <c r="I490" s="5">
        <v>189867</v>
      </c>
      <c r="J490" s="5">
        <v>17022</v>
      </c>
      <c r="K490" s="5">
        <v>172845</v>
      </c>
      <c r="L490" s="5">
        <v>121280</v>
      </c>
      <c r="M490" s="5">
        <v>10804</v>
      </c>
      <c r="N490" s="5">
        <v>11201</v>
      </c>
      <c r="O490" s="5">
        <v>23303</v>
      </c>
      <c r="P490" s="5">
        <v>6257</v>
      </c>
      <c r="Q490">
        <v>7</v>
      </c>
      <c r="R490" t="s">
        <v>53</v>
      </c>
    </row>
    <row r="491" spans="1:18">
      <c r="A491" t="s">
        <v>550</v>
      </c>
      <c r="B491" s="4">
        <v>46241</v>
      </c>
      <c r="C491" t="s">
        <v>541</v>
      </c>
      <c r="D491" t="s">
        <v>37</v>
      </c>
      <c r="E491" t="s">
        <v>38</v>
      </c>
      <c r="F491" t="s">
        <v>49</v>
      </c>
      <c r="G491" t="s">
        <v>43</v>
      </c>
      <c r="H491">
        <v>3</v>
      </c>
      <c r="I491" s="5">
        <v>384152</v>
      </c>
      <c r="J491" s="5">
        <v>85751</v>
      </c>
      <c r="K491" s="5">
        <v>298401</v>
      </c>
      <c r="L491" s="5">
        <v>212573</v>
      </c>
      <c r="M491" s="5">
        <v>25160</v>
      </c>
      <c r="N491" s="5">
        <v>0</v>
      </c>
      <c r="O491" s="5">
        <v>55203</v>
      </c>
      <c r="P491" s="5">
        <v>5465</v>
      </c>
      <c r="Q491">
        <v>5</v>
      </c>
      <c r="R491" t="s">
        <v>41</v>
      </c>
    </row>
    <row r="492" spans="1:18">
      <c r="A492" t="s">
        <v>551</v>
      </c>
      <c r="B492" s="4">
        <v>46243</v>
      </c>
      <c r="C492" t="s">
        <v>541</v>
      </c>
      <c r="D492" t="s">
        <v>37</v>
      </c>
      <c r="E492" t="s">
        <v>59</v>
      </c>
      <c r="F492" t="s">
        <v>46</v>
      </c>
      <c r="G492" t="s">
        <v>40</v>
      </c>
      <c r="H492">
        <v>4</v>
      </c>
      <c r="I492" s="5">
        <v>293697</v>
      </c>
      <c r="J492" s="5">
        <v>46645</v>
      </c>
      <c r="K492" s="5">
        <v>247052</v>
      </c>
      <c r="L492" s="5">
        <v>176316</v>
      </c>
      <c r="M492" s="5">
        <v>15193</v>
      </c>
      <c r="N492" s="5">
        <v>0</v>
      </c>
      <c r="O492" s="5">
        <v>40177</v>
      </c>
      <c r="P492" s="5">
        <v>15366</v>
      </c>
      <c r="Q492">
        <v>3</v>
      </c>
      <c r="R492" t="s">
        <v>41</v>
      </c>
    </row>
    <row r="493" spans="1:18">
      <c r="A493" t="s">
        <v>552</v>
      </c>
      <c r="B493" s="4">
        <v>46239</v>
      </c>
      <c r="C493" t="s">
        <v>541</v>
      </c>
      <c r="D493" t="s">
        <v>37</v>
      </c>
      <c r="E493" t="s">
        <v>38</v>
      </c>
      <c r="F493" t="s">
        <v>61</v>
      </c>
      <c r="G493" t="s">
        <v>40</v>
      </c>
      <c r="H493">
        <v>5</v>
      </c>
      <c r="I493" s="5">
        <v>463348</v>
      </c>
      <c r="J493" s="5">
        <v>74397</v>
      </c>
      <c r="K493" s="5">
        <v>388951</v>
      </c>
      <c r="L493" s="5">
        <v>276222</v>
      </c>
      <c r="M493" s="5">
        <v>25491</v>
      </c>
      <c r="N493" s="5">
        <v>0</v>
      </c>
      <c r="O493" s="5">
        <v>74236</v>
      </c>
      <c r="P493" s="5">
        <v>13002</v>
      </c>
      <c r="Q493">
        <v>7</v>
      </c>
      <c r="R493" t="s">
        <v>41</v>
      </c>
    </row>
    <row r="494" spans="1:18">
      <c r="A494" t="s">
        <v>553</v>
      </c>
      <c r="B494" s="4">
        <v>46266</v>
      </c>
      <c r="C494" t="s">
        <v>541</v>
      </c>
      <c r="D494" t="s">
        <v>37</v>
      </c>
      <c r="E494" t="s">
        <v>45</v>
      </c>
      <c r="F494" t="s">
        <v>49</v>
      </c>
      <c r="G494" t="s">
        <v>40</v>
      </c>
      <c r="H494">
        <v>6</v>
      </c>
      <c r="I494" s="5">
        <v>407132</v>
      </c>
      <c r="J494" s="5">
        <v>85817</v>
      </c>
      <c r="K494" s="5">
        <v>321315</v>
      </c>
      <c r="L494" s="5">
        <v>237157</v>
      </c>
      <c r="M494" s="5">
        <v>30653</v>
      </c>
      <c r="N494" s="5">
        <v>0</v>
      </c>
      <c r="O494" s="5">
        <v>41720</v>
      </c>
      <c r="P494" s="5">
        <v>11785</v>
      </c>
      <c r="Q494">
        <v>4</v>
      </c>
      <c r="R494" t="s">
        <v>41</v>
      </c>
    </row>
    <row r="495" spans="1:18">
      <c r="A495" t="s">
        <v>554</v>
      </c>
      <c r="B495" s="4">
        <v>46240</v>
      </c>
      <c r="C495" t="s">
        <v>541</v>
      </c>
      <c r="D495" t="s">
        <v>37</v>
      </c>
      <c r="E495" t="s">
        <v>45</v>
      </c>
      <c r="F495" t="s">
        <v>39</v>
      </c>
      <c r="G495" t="s">
        <v>43</v>
      </c>
      <c r="H495">
        <v>4</v>
      </c>
      <c r="I495" s="5">
        <v>400308</v>
      </c>
      <c r="J495" s="5">
        <v>66961</v>
      </c>
      <c r="K495" s="5">
        <v>333347</v>
      </c>
      <c r="L495" s="5">
        <v>245899</v>
      </c>
      <c r="M495" s="5">
        <v>24297</v>
      </c>
      <c r="N495" s="5">
        <v>0</v>
      </c>
      <c r="O495" s="5">
        <v>54706</v>
      </c>
      <c r="P495" s="5">
        <v>8445</v>
      </c>
      <c r="Q495">
        <v>7</v>
      </c>
      <c r="R495" t="s">
        <v>41</v>
      </c>
    </row>
    <row r="496" spans="1:18">
      <c r="A496" t="s">
        <v>555</v>
      </c>
      <c r="B496" s="4">
        <v>46260</v>
      </c>
      <c r="C496" t="s">
        <v>541</v>
      </c>
      <c r="D496" t="s">
        <v>37</v>
      </c>
      <c r="E496" t="s">
        <v>45</v>
      </c>
      <c r="F496" t="s">
        <v>51</v>
      </c>
      <c r="G496" t="s">
        <v>43</v>
      </c>
      <c r="H496">
        <v>6</v>
      </c>
      <c r="I496" s="5">
        <v>276172</v>
      </c>
      <c r="J496" s="5">
        <v>52625</v>
      </c>
      <c r="K496" s="5">
        <v>223547</v>
      </c>
      <c r="L496" s="5">
        <v>157068</v>
      </c>
      <c r="M496" s="5">
        <v>16384</v>
      </c>
      <c r="N496" s="5">
        <v>0</v>
      </c>
      <c r="O496" s="5">
        <v>37235</v>
      </c>
      <c r="P496" s="5">
        <v>12860</v>
      </c>
      <c r="Q496">
        <v>5</v>
      </c>
      <c r="R496" t="s">
        <v>41</v>
      </c>
    </row>
    <row r="497" spans="1:18">
      <c r="A497" t="s">
        <v>556</v>
      </c>
      <c r="B497" s="4">
        <v>46264</v>
      </c>
      <c r="C497" t="s">
        <v>541</v>
      </c>
      <c r="D497" t="s">
        <v>37</v>
      </c>
      <c r="E497" t="s">
        <v>45</v>
      </c>
      <c r="F497" t="s">
        <v>61</v>
      </c>
      <c r="G497" t="s">
        <v>43</v>
      </c>
      <c r="H497">
        <v>1</v>
      </c>
      <c r="I497" s="5">
        <v>276976</v>
      </c>
      <c r="J497" s="5">
        <v>54085</v>
      </c>
      <c r="K497" s="5">
        <v>222891</v>
      </c>
      <c r="L497" s="5">
        <v>153140</v>
      </c>
      <c r="M497" s="5">
        <v>13257</v>
      </c>
      <c r="N497" s="5">
        <v>0</v>
      </c>
      <c r="O497" s="5">
        <v>42570</v>
      </c>
      <c r="P497" s="5">
        <v>13924</v>
      </c>
      <c r="Q497">
        <v>5</v>
      </c>
      <c r="R497" t="s">
        <v>41</v>
      </c>
    </row>
    <row r="498" spans="1:18">
      <c r="A498" t="s">
        <v>557</v>
      </c>
      <c r="B498" s="4">
        <v>46276</v>
      </c>
      <c r="C498" t="s">
        <v>541</v>
      </c>
      <c r="D498" t="s">
        <v>37</v>
      </c>
      <c r="E498" t="s">
        <v>38</v>
      </c>
      <c r="F498" t="s">
        <v>51</v>
      </c>
      <c r="G498" t="s">
        <v>40</v>
      </c>
      <c r="H498">
        <v>4</v>
      </c>
      <c r="I498" s="5">
        <v>489318</v>
      </c>
      <c r="J498" s="5">
        <v>112497</v>
      </c>
      <c r="K498" s="5">
        <v>376821</v>
      </c>
      <c r="L498" s="5">
        <v>258098</v>
      </c>
      <c r="M498" s="5">
        <v>24540</v>
      </c>
      <c r="N498" s="5">
        <v>0</v>
      </c>
      <c r="O498" s="5">
        <v>83667</v>
      </c>
      <c r="P498" s="5">
        <v>10516</v>
      </c>
      <c r="Q498">
        <v>6</v>
      </c>
      <c r="R498" t="s">
        <v>41</v>
      </c>
    </row>
    <row r="499" spans="1:18">
      <c r="A499" t="s">
        <v>558</v>
      </c>
      <c r="B499" s="4">
        <v>46267</v>
      </c>
      <c r="C499" t="s">
        <v>541</v>
      </c>
      <c r="D499" t="s">
        <v>37</v>
      </c>
      <c r="E499" t="s">
        <v>55</v>
      </c>
      <c r="F499" t="s">
        <v>51</v>
      </c>
      <c r="G499" t="s">
        <v>40</v>
      </c>
      <c r="H499">
        <v>1</v>
      </c>
      <c r="I499" s="5">
        <v>263328</v>
      </c>
      <c r="J499" s="5">
        <v>44772</v>
      </c>
      <c r="K499" s="5">
        <v>218556</v>
      </c>
      <c r="L499" s="5">
        <v>159708</v>
      </c>
      <c r="M499" s="5">
        <v>15266</v>
      </c>
      <c r="N499" s="5">
        <v>0</v>
      </c>
      <c r="O499" s="5">
        <v>36827</v>
      </c>
      <c r="P499" s="5">
        <v>6755</v>
      </c>
      <c r="Q499">
        <v>8</v>
      </c>
      <c r="R499" t="s">
        <v>41</v>
      </c>
    </row>
    <row r="500" spans="1:18">
      <c r="A500" t="s">
        <v>559</v>
      </c>
      <c r="B500" s="4">
        <v>46240</v>
      </c>
      <c r="C500" t="s">
        <v>541</v>
      </c>
      <c r="D500" t="s">
        <v>37</v>
      </c>
      <c r="E500" t="s">
        <v>55</v>
      </c>
      <c r="F500" t="s">
        <v>51</v>
      </c>
      <c r="G500" t="s">
        <v>43</v>
      </c>
      <c r="H500">
        <v>6</v>
      </c>
      <c r="I500" s="5">
        <v>390552</v>
      </c>
      <c r="J500" s="5">
        <v>76849</v>
      </c>
      <c r="K500" s="5">
        <v>313703</v>
      </c>
      <c r="L500" s="5">
        <v>226291</v>
      </c>
      <c r="M500" s="5">
        <v>26217</v>
      </c>
      <c r="N500" s="5">
        <v>17374</v>
      </c>
      <c r="O500" s="5">
        <v>36892</v>
      </c>
      <c r="P500" s="5">
        <v>6929</v>
      </c>
      <c r="Q500">
        <v>7</v>
      </c>
      <c r="R500" t="s">
        <v>53</v>
      </c>
    </row>
    <row r="501" spans="1:18">
      <c r="A501" t="s">
        <v>560</v>
      </c>
      <c r="B501" s="4">
        <v>46280</v>
      </c>
      <c r="C501" t="s">
        <v>541</v>
      </c>
      <c r="D501" t="s">
        <v>37</v>
      </c>
      <c r="E501" t="s">
        <v>45</v>
      </c>
      <c r="F501" t="s">
        <v>49</v>
      </c>
      <c r="G501" t="s">
        <v>43</v>
      </c>
      <c r="H501">
        <v>5</v>
      </c>
      <c r="I501" s="5">
        <v>337017</v>
      </c>
      <c r="J501" s="5">
        <v>58923</v>
      </c>
      <c r="K501" s="5">
        <v>278094</v>
      </c>
      <c r="L501" s="5">
        <v>202023</v>
      </c>
      <c r="M501" s="5">
        <v>21507</v>
      </c>
      <c r="N501" s="5">
        <v>0</v>
      </c>
      <c r="O501" s="5">
        <v>46257</v>
      </c>
      <c r="P501" s="5">
        <v>8307</v>
      </c>
      <c r="Q501">
        <v>5</v>
      </c>
      <c r="R501" t="s">
        <v>41</v>
      </c>
    </row>
    <row r="502" spans="1:18">
      <c r="A502" t="s">
        <v>561</v>
      </c>
      <c r="B502" s="4">
        <v>46251</v>
      </c>
      <c r="C502" t="s">
        <v>541</v>
      </c>
      <c r="D502" t="s">
        <v>37</v>
      </c>
      <c r="E502" t="s">
        <v>59</v>
      </c>
      <c r="F502" t="s">
        <v>39</v>
      </c>
      <c r="G502" t="s">
        <v>40</v>
      </c>
      <c r="H502">
        <v>5</v>
      </c>
      <c r="I502" s="5">
        <v>402503</v>
      </c>
      <c r="J502" s="5">
        <v>62436</v>
      </c>
      <c r="K502" s="5">
        <v>340067</v>
      </c>
      <c r="L502" s="5">
        <v>244642</v>
      </c>
      <c r="M502" s="5">
        <v>32642</v>
      </c>
      <c r="N502" s="5">
        <v>0</v>
      </c>
      <c r="O502" s="5">
        <v>52542</v>
      </c>
      <c r="P502" s="5">
        <v>10241</v>
      </c>
      <c r="Q502">
        <v>6</v>
      </c>
      <c r="R502" t="s">
        <v>41</v>
      </c>
    </row>
    <row r="503" spans="1:18">
      <c r="A503" t="s">
        <v>562</v>
      </c>
      <c r="B503" s="4">
        <v>46257</v>
      </c>
      <c r="C503" t="s">
        <v>541</v>
      </c>
      <c r="D503" t="s">
        <v>37</v>
      </c>
      <c r="E503" t="s">
        <v>45</v>
      </c>
      <c r="F503" t="s">
        <v>61</v>
      </c>
      <c r="G503" t="s">
        <v>43</v>
      </c>
      <c r="H503">
        <v>3</v>
      </c>
      <c r="I503" s="5">
        <v>271235</v>
      </c>
      <c r="J503" s="5">
        <v>56598</v>
      </c>
      <c r="K503" s="5">
        <v>214637</v>
      </c>
      <c r="L503" s="5">
        <v>156874</v>
      </c>
      <c r="M503" s="5">
        <v>13520</v>
      </c>
      <c r="N503" s="5">
        <v>8454</v>
      </c>
      <c r="O503" s="5">
        <v>27824</v>
      </c>
      <c r="P503" s="5">
        <v>7965</v>
      </c>
      <c r="Q503">
        <v>6</v>
      </c>
      <c r="R503" t="s">
        <v>53</v>
      </c>
    </row>
    <row r="504" spans="1:18">
      <c r="A504" t="s">
        <v>563</v>
      </c>
      <c r="B504" s="4">
        <v>46225</v>
      </c>
      <c r="C504" t="s">
        <v>541</v>
      </c>
      <c r="D504" t="s">
        <v>37</v>
      </c>
      <c r="E504" t="s">
        <v>45</v>
      </c>
      <c r="F504" t="s">
        <v>39</v>
      </c>
      <c r="G504" t="s">
        <v>43</v>
      </c>
      <c r="H504">
        <v>3</v>
      </c>
      <c r="I504" s="5">
        <v>376457</v>
      </c>
      <c r="J504" s="5">
        <v>37374</v>
      </c>
      <c r="K504" s="5">
        <v>339083</v>
      </c>
      <c r="L504" s="5">
        <v>240979</v>
      </c>
      <c r="M504" s="5">
        <v>30081</v>
      </c>
      <c r="N504" s="5">
        <v>11208</v>
      </c>
      <c r="O504" s="5">
        <v>49547</v>
      </c>
      <c r="P504" s="5">
        <v>7268</v>
      </c>
      <c r="Q504">
        <v>5</v>
      </c>
      <c r="R504" t="s">
        <v>53</v>
      </c>
    </row>
    <row r="505" spans="1:18">
      <c r="A505" t="s">
        <v>564</v>
      </c>
      <c r="B505" s="4">
        <v>46205</v>
      </c>
      <c r="C505" t="s">
        <v>541</v>
      </c>
      <c r="D505" t="s">
        <v>37</v>
      </c>
      <c r="E505" t="s">
        <v>38</v>
      </c>
      <c r="F505" t="s">
        <v>49</v>
      </c>
      <c r="G505" t="s">
        <v>43</v>
      </c>
      <c r="H505">
        <v>3</v>
      </c>
      <c r="I505" s="5">
        <v>437069</v>
      </c>
      <c r="J505" s="5">
        <v>69455</v>
      </c>
      <c r="K505" s="5">
        <v>367614</v>
      </c>
      <c r="L505" s="5">
        <v>244306</v>
      </c>
      <c r="M505" s="5">
        <v>29517</v>
      </c>
      <c r="N505" s="5">
        <v>0</v>
      </c>
      <c r="O505" s="5">
        <v>80951</v>
      </c>
      <c r="P505" s="5">
        <v>12840</v>
      </c>
      <c r="Q505">
        <v>3</v>
      </c>
      <c r="R505" t="s">
        <v>41</v>
      </c>
    </row>
    <row r="506" spans="1:18">
      <c r="A506" t="s">
        <v>565</v>
      </c>
      <c r="B506" s="4">
        <v>46268</v>
      </c>
      <c r="C506" t="s">
        <v>541</v>
      </c>
      <c r="D506" t="s">
        <v>37</v>
      </c>
      <c r="E506" t="s">
        <v>38</v>
      </c>
      <c r="F506" t="s">
        <v>51</v>
      </c>
      <c r="G506" t="s">
        <v>40</v>
      </c>
      <c r="H506">
        <v>4</v>
      </c>
      <c r="I506" s="5">
        <v>362775</v>
      </c>
      <c r="J506" s="5">
        <v>67655</v>
      </c>
      <c r="K506" s="5">
        <v>295120</v>
      </c>
      <c r="L506" s="5">
        <v>216130</v>
      </c>
      <c r="M506" s="5">
        <v>18845</v>
      </c>
      <c r="N506" s="5">
        <v>0</v>
      </c>
      <c r="O506" s="5">
        <v>48333</v>
      </c>
      <c r="P506" s="5">
        <v>11812</v>
      </c>
      <c r="Q506">
        <v>4</v>
      </c>
      <c r="R506" t="s">
        <v>41</v>
      </c>
    </row>
    <row r="507" spans="1:18">
      <c r="A507" t="s">
        <v>566</v>
      </c>
      <c r="B507" s="4">
        <v>46243</v>
      </c>
      <c r="C507" t="s">
        <v>541</v>
      </c>
      <c r="D507" t="s">
        <v>37</v>
      </c>
      <c r="E507" t="s">
        <v>45</v>
      </c>
      <c r="F507" t="s">
        <v>51</v>
      </c>
      <c r="G507" t="s">
        <v>43</v>
      </c>
      <c r="H507">
        <v>5</v>
      </c>
      <c r="I507" s="5">
        <v>408828</v>
      </c>
      <c r="J507" s="5">
        <v>68059</v>
      </c>
      <c r="K507" s="5">
        <v>340769</v>
      </c>
      <c r="L507" s="5">
        <v>246951</v>
      </c>
      <c r="M507" s="5">
        <v>31761</v>
      </c>
      <c r="N507" s="5">
        <v>0</v>
      </c>
      <c r="O507" s="5">
        <v>48942</v>
      </c>
      <c r="P507" s="5">
        <v>13115</v>
      </c>
      <c r="Q507">
        <v>6</v>
      </c>
      <c r="R507" t="s">
        <v>41</v>
      </c>
    </row>
    <row r="508" spans="1:18">
      <c r="A508" t="s">
        <v>567</v>
      </c>
      <c r="B508" s="4">
        <v>46219</v>
      </c>
      <c r="C508" t="s">
        <v>541</v>
      </c>
      <c r="D508" t="s">
        <v>37</v>
      </c>
      <c r="E508" t="s">
        <v>38</v>
      </c>
      <c r="F508" t="s">
        <v>51</v>
      </c>
      <c r="G508" t="s">
        <v>40</v>
      </c>
      <c r="H508">
        <v>6</v>
      </c>
      <c r="I508" s="5">
        <v>473871</v>
      </c>
      <c r="J508" s="5">
        <v>41814</v>
      </c>
      <c r="K508" s="5">
        <v>432057</v>
      </c>
      <c r="L508" s="5">
        <v>292161</v>
      </c>
      <c r="M508" s="5">
        <v>30324</v>
      </c>
      <c r="N508" s="5">
        <v>0</v>
      </c>
      <c r="O508" s="5">
        <v>97590</v>
      </c>
      <c r="P508" s="5">
        <v>11982</v>
      </c>
      <c r="Q508">
        <v>5</v>
      </c>
      <c r="R508" t="s">
        <v>41</v>
      </c>
    </row>
    <row r="509" spans="1:18">
      <c r="A509" t="s">
        <v>568</v>
      </c>
      <c r="B509" s="4">
        <v>46218</v>
      </c>
      <c r="C509" t="s">
        <v>541</v>
      </c>
      <c r="D509" t="s">
        <v>37</v>
      </c>
      <c r="E509" t="s">
        <v>59</v>
      </c>
      <c r="F509" t="s">
        <v>61</v>
      </c>
      <c r="G509" t="s">
        <v>43</v>
      </c>
      <c r="H509">
        <v>4</v>
      </c>
      <c r="I509" s="5">
        <v>287905</v>
      </c>
      <c r="J509" s="5">
        <v>52588</v>
      </c>
      <c r="K509" s="5">
        <v>235317</v>
      </c>
      <c r="L509" s="5">
        <v>158390</v>
      </c>
      <c r="M509" s="5">
        <v>14458</v>
      </c>
      <c r="N509" s="5">
        <v>0</v>
      </c>
      <c r="O509" s="5">
        <v>56133</v>
      </c>
      <c r="P509" s="5">
        <v>6336</v>
      </c>
      <c r="Q509">
        <v>7</v>
      </c>
      <c r="R509" t="s">
        <v>41</v>
      </c>
    </row>
    <row r="510" spans="1:18">
      <c r="A510" t="s">
        <v>569</v>
      </c>
      <c r="B510" s="4">
        <v>46236</v>
      </c>
      <c r="C510" t="s">
        <v>541</v>
      </c>
      <c r="D510" t="s">
        <v>37</v>
      </c>
      <c r="E510" t="s">
        <v>59</v>
      </c>
      <c r="F510" t="s">
        <v>61</v>
      </c>
      <c r="G510" t="s">
        <v>43</v>
      </c>
      <c r="H510">
        <v>6</v>
      </c>
      <c r="I510" s="5">
        <v>183777</v>
      </c>
      <c r="J510" s="5">
        <v>36043</v>
      </c>
      <c r="K510" s="5">
        <v>147734</v>
      </c>
      <c r="L510" s="5">
        <v>100264</v>
      </c>
      <c r="M510" s="5">
        <v>10747</v>
      </c>
      <c r="N510" s="5">
        <v>4637</v>
      </c>
      <c r="O510" s="5">
        <v>17793</v>
      </c>
      <c r="P510" s="5">
        <v>14293</v>
      </c>
      <c r="Q510">
        <v>6</v>
      </c>
      <c r="R510" t="s">
        <v>53</v>
      </c>
    </row>
    <row r="511" spans="1:18">
      <c r="A511" t="s">
        <v>570</v>
      </c>
      <c r="B511" s="4">
        <v>46229</v>
      </c>
      <c r="C511" t="s">
        <v>541</v>
      </c>
      <c r="D511" t="s">
        <v>37</v>
      </c>
      <c r="E511" t="s">
        <v>38</v>
      </c>
      <c r="F511" t="s">
        <v>39</v>
      </c>
      <c r="G511" t="s">
        <v>40</v>
      </c>
      <c r="H511">
        <v>1</v>
      </c>
      <c r="I511" s="5">
        <v>182932</v>
      </c>
      <c r="J511" s="5">
        <v>35806</v>
      </c>
      <c r="K511" s="5">
        <v>147126</v>
      </c>
      <c r="L511" s="5">
        <v>95718</v>
      </c>
      <c r="M511" s="5">
        <v>11643</v>
      </c>
      <c r="N511" s="5">
        <v>0</v>
      </c>
      <c r="O511" s="5">
        <v>31132</v>
      </c>
      <c r="P511" s="5">
        <v>8633</v>
      </c>
      <c r="Q511">
        <v>6</v>
      </c>
      <c r="R511" t="s">
        <v>41</v>
      </c>
    </row>
    <row r="512" spans="1:18">
      <c r="A512" t="s">
        <v>571</v>
      </c>
      <c r="B512" s="4">
        <v>46268</v>
      </c>
      <c r="C512" t="s">
        <v>541</v>
      </c>
      <c r="D512" t="s">
        <v>37</v>
      </c>
      <c r="E512" t="s">
        <v>38</v>
      </c>
      <c r="F512" t="s">
        <v>49</v>
      </c>
      <c r="G512" t="s">
        <v>40</v>
      </c>
      <c r="H512">
        <v>1</v>
      </c>
      <c r="I512" s="5">
        <v>209441</v>
      </c>
      <c r="J512" s="5">
        <v>45106</v>
      </c>
      <c r="K512" s="5">
        <v>164335</v>
      </c>
      <c r="L512" s="5">
        <v>108871</v>
      </c>
      <c r="M512" s="5">
        <v>12847</v>
      </c>
      <c r="N512" s="5">
        <v>0</v>
      </c>
      <c r="O512" s="5">
        <v>32717</v>
      </c>
      <c r="P512" s="5">
        <v>9900</v>
      </c>
      <c r="Q512">
        <v>8</v>
      </c>
      <c r="R512" t="s">
        <v>41</v>
      </c>
    </row>
    <row r="513" spans="1:18">
      <c r="A513" t="s">
        <v>572</v>
      </c>
      <c r="B513" s="4">
        <v>46225</v>
      </c>
      <c r="C513" t="s">
        <v>541</v>
      </c>
      <c r="D513" t="s">
        <v>37</v>
      </c>
      <c r="E513" t="s">
        <v>59</v>
      </c>
      <c r="F513" t="s">
        <v>61</v>
      </c>
      <c r="G513" t="s">
        <v>40</v>
      </c>
      <c r="H513">
        <v>5</v>
      </c>
      <c r="I513" s="5">
        <v>331722</v>
      </c>
      <c r="J513" s="5">
        <v>68055</v>
      </c>
      <c r="K513" s="5">
        <v>263667</v>
      </c>
      <c r="L513" s="5">
        <v>183550</v>
      </c>
      <c r="M513" s="5">
        <v>22359</v>
      </c>
      <c r="N513" s="5">
        <v>0</v>
      </c>
      <c r="O513" s="5">
        <v>46361</v>
      </c>
      <c r="P513" s="5">
        <v>11397</v>
      </c>
      <c r="Q513">
        <v>3</v>
      </c>
      <c r="R513" t="s">
        <v>41</v>
      </c>
    </row>
    <row r="514" spans="1:18">
      <c r="A514" t="s">
        <v>573</v>
      </c>
      <c r="B514" s="4">
        <v>46217</v>
      </c>
      <c r="C514" t="s">
        <v>541</v>
      </c>
      <c r="D514" t="s">
        <v>37</v>
      </c>
      <c r="E514" t="s">
        <v>38</v>
      </c>
      <c r="F514" t="s">
        <v>39</v>
      </c>
      <c r="G514" t="s">
        <v>43</v>
      </c>
      <c r="H514">
        <v>4</v>
      </c>
      <c r="I514" s="5">
        <v>372500</v>
      </c>
      <c r="J514" s="5">
        <v>75843</v>
      </c>
      <c r="K514" s="5">
        <v>296657</v>
      </c>
      <c r="L514" s="5">
        <v>214828</v>
      </c>
      <c r="M514" s="5">
        <v>19493</v>
      </c>
      <c r="N514" s="5">
        <v>0</v>
      </c>
      <c r="O514" s="5">
        <v>54881</v>
      </c>
      <c r="P514" s="5">
        <v>7455</v>
      </c>
      <c r="Q514">
        <v>4</v>
      </c>
      <c r="R514" t="s">
        <v>41</v>
      </c>
    </row>
    <row r="515" spans="1:18">
      <c r="A515" t="s">
        <v>574</v>
      </c>
      <c r="B515" s="4">
        <v>46221</v>
      </c>
      <c r="C515" t="s">
        <v>541</v>
      </c>
      <c r="D515" t="s">
        <v>37</v>
      </c>
      <c r="E515" t="s">
        <v>55</v>
      </c>
      <c r="F515" t="s">
        <v>39</v>
      </c>
      <c r="G515" t="s">
        <v>43</v>
      </c>
      <c r="H515">
        <v>5</v>
      </c>
      <c r="I515" s="5">
        <v>421194</v>
      </c>
      <c r="J515" s="5">
        <v>78173</v>
      </c>
      <c r="K515" s="5">
        <v>343021</v>
      </c>
      <c r="L515" s="5">
        <v>225683</v>
      </c>
      <c r="M515" s="5">
        <v>32499</v>
      </c>
      <c r="N515" s="5">
        <v>11253</v>
      </c>
      <c r="O515" s="5">
        <v>57568</v>
      </c>
      <c r="P515" s="5">
        <v>16018</v>
      </c>
      <c r="Q515">
        <v>7</v>
      </c>
      <c r="R515" t="s">
        <v>53</v>
      </c>
    </row>
    <row r="516" spans="1:18">
      <c r="A516" t="s">
        <v>575</v>
      </c>
      <c r="B516" s="4">
        <v>46243</v>
      </c>
      <c r="C516" t="s">
        <v>541</v>
      </c>
      <c r="D516" t="s">
        <v>37</v>
      </c>
      <c r="E516" t="s">
        <v>55</v>
      </c>
      <c r="F516" t="s">
        <v>51</v>
      </c>
      <c r="G516" t="s">
        <v>43</v>
      </c>
      <c r="H516">
        <v>3</v>
      </c>
      <c r="I516" s="5">
        <v>299546</v>
      </c>
      <c r="J516" s="5">
        <v>53162</v>
      </c>
      <c r="K516" s="5">
        <v>246384</v>
      </c>
      <c r="L516" s="5">
        <v>166961</v>
      </c>
      <c r="M516" s="5">
        <v>17375</v>
      </c>
      <c r="N516" s="5">
        <v>0</v>
      </c>
      <c r="O516" s="5">
        <v>46136</v>
      </c>
      <c r="P516" s="5">
        <v>15912</v>
      </c>
      <c r="Q516">
        <v>5</v>
      </c>
      <c r="R516" t="s">
        <v>41</v>
      </c>
    </row>
    <row r="517" spans="1:18">
      <c r="A517" t="s">
        <v>576</v>
      </c>
      <c r="B517" s="4">
        <v>46290</v>
      </c>
      <c r="C517" t="s">
        <v>541</v>
      </c>
      <c r="D517" t="s">
        <v>37</v>
      </c>
      <c r="E517" t="s">
        <v>45</v>
      </c>
      <c r="F517" t="s">
        <v>51</v>
      </c>
      <c r="G517" t="s">
        <v>40</v>
      </c>
      <c r="H517">
        <v>6</v>
      </c>
      <c r="I517" s="5">
        <v>452674</v>
      </c>
      <c r="J517" s="5">
        <v>98152</v>
      </c>
      <c r="K517" s="5">
        <v>354522</v>
      </c>
      <c r="L517" s="5">
        <v>259284</v>
      </c>
      <c r="M517" s="5">
        <v>32804</v>
      </c>
      <c r="N517" s="5">
        <v>0</v>
      </c>
      <c r="O517" s="5">
        <v>50378</v>
      </c>
      <c r="P517" s="5">
        <v>12056</v>
      </c>
      <c r="Q517">
        <v>6</v>
      </c>
      <c r="R517" t="s">
        <v>41</v>
      </c>
    </row>
    <row r="518" spans="1:18">
      <c r="A518" t="s">
        <v>577</v>
      </c>
      <c r="B518" s="4">
        <v>46255</v>
      </c>
      <c r="C518" t="s">
        <v>541</v>
      </c>
      <c r="D518" t="s">
        <v>37</v>
      </c>
      <c r="E518" t="s">
        <v>59</v>
      </c>
      <c r="F518" t="s">
        <v>51</v>
      </c>
      <c r="G518" t="s">
        <v>40</v>
      </c>
      <c r="H518">
        <v>3</v>
      </c>
      <c r="I518" s="5">
        <v>260090</v>
      </c>
      <c r="J518" s="5">
        <v>42531</v>
      </c>
      <c r="K518" s="5">
        <v>217559</v>
      </c>
      <c r="L518" s="5">
        <v>145954</v>
      </c>
      <c r="M518" s="5">
        <v>17516</v>
      </c>
      <c r="N518" s="5">
        <v>7249</v>
      </c>
      <c r="O518" s="5">
        <v>32157</v>
      </c>
      <c r="P518" s="5">
        <v>14683</v>
      </c>
      <c r="Q518">
        <v>6</v>
      </c>
      <c r="R518" t="s">
        <v>53</v>
      </c>
    </row>
    <row r="519" spans="1:18">
      <c r="A519" t="s">
        <v>578</v>
      </c>
      <c r="B519" s="4">
        <v>46267</v>
      </c>
      <c r="C519" t="s">
        <v>541</v>
      </c>
      <c r="D519" t="s">
        <v>37</v>
      </c>
      <c r="E519" t="s">
        <v>45</v>
      </c>
      <c r="F519" t="s">
        <v>49</v>
      </c>
      <c r="G519" t="s">
        <v>43</v>
      </c>
      <c r="H519">
        <v>6</v>
      </c>
      <c r="I519" s="5">
        <v>195956</v>
      </c>
      <c r="J519" s="5">
        <v>41433</v>
      </c>
      <c r="K519" s="5">
        <v>154523</v>
      </c>
      <c r="L519" s="5">
        <v>101598</v>
      </c>
      <c r="M519" s="5">
        <v>13798</v>
      </c>
      <c r="N519" s="5">
        <v>8798</v>
      </c>
      <c r="O519" s="5">
        <v>14309</v>
      </c>
      <c r="P519" s="5">
        <v>16020</v>
      </c>
      <c r="Q519">
        <v>6</v>
      </c>
      <c r="R519" t="s">
        <v>53</v>
      </c>
    </row>
    <row r="520" spans="1:18">
      <c r="A520" t="s">
        <v>579</v>
      </c>
      <c r="B520" s="4">
        <v>46269</v>
      </c>
      <c r="C520" t="s">
        <v>541</v>
      </c>
      <c r="D520" t="s">
        <v>37</v>
      </c>
      <c r="E520" t="s">
        <v>45</v>
      </c>
      <c r="F520" t="s">
        <v>51</v>
      </c>
      <c r="G520" t="s">
        <v>43</v>
      </c>
      <c r="H520">
        <v>1</v>
      </c>
      <c r="I520" s="5">
        <v>410394</v>
      </c>
      <c r="J520" s="5">
        <v>86500</v>
      </c>
      <c r="K520" s="5">
        <v>323894</v>
      </c>
      <c r="L520" s="5">
        <v>231648</v>
      </c>
      <c r="M520" s="5">
        <v>30679</v>
      </c>
      <c r="N520" s="5">
        <v>0</v>
      </c>
      <c r="O520" s="5">
        <v>50711</v>
      </c>
      <c r="P520" s="5">
        <v>10856</v>
      </c>
      <c r="Q520">
        <v>5</v>
      </c>
      <c r="R520" t="s">
        <v>41</v>
      </c>
    </row>
    <row r="521" spans="1:18">
      <c r="A521" t="s">
        <v>580</v>
      </c>
      <c r="B521" s="4">
        <v>46212</v>
      </c>
      <c r="C521" t="s">
        <v>541</v>
      </c>
      <c r="D521" t="s">
        <v>37</v>
      </c>
      <c r="E521" t="s">
        <v>55</v>
      </c>
      <c r="F521" t="s">
        <v>61</v>
      </c>
      <c r="G521" t="s">
        <v>40</v>
      </c>
      <c r="H521">
        <v>4</v>
      </c>
      <c r="I521" s="5">
        <v>203757</v>
      </c>
      <c r="J521" s="5">
        <v>42625</v>
      </c>
      <c r="K521" s="5">
        <v>161132</v>
      </c>
      <c r="L521" s="5">
        <v>105636</v>
      </c>
      <c r="M521" s="5">
        <v>14727</v>
      </c>
      <c r="N521" s="5">
        <v>8971</v>
      </c>
      <c r="O521" s="5">
        <v>21409</v>
      </c>
      <c r="P521" s="5">
        <v>10389</v>
      </c>
      <c r="Q521">
        <v>7</v>
      </c>
      <c r="R521" t="s">
        <v>53</v>
      </c>
    </row>
    <row r="522" spans="1:18">
      <c r="A522" t="s">
        <v>581</v>
      </c>
      <c r="B522" s="4">
        <v>46288</v>
      </c>
      <c r="C522" t="s">
        <v>541</v>
      </c>
      <c r="D522" t="s">
        <v>37</v>
      </c>
      <c r="E522" t="s">
        <v>55</v>
      </c>
      <c r="F522" t="s">
        <v>46</v>
      </c>
      <c r="G522" t="s">
        <v>40</v>
      </c>
      <c r="H522">
        <v>3</v>
      </c>
      <c r="I522" s="5">
        <v>374809</v>
      </c>
      <c r="J522" s="5">
        <v>58223</v>
      </c>
      <c r="K522" s="5">
        <v>316586</v>
      </c>
      <c r="L522" s="5">
        <v>215320</v>
      </c>
      <c r="M522" s="5">
        <v>25856</v>
      </c>
      <c r="N522" s="5">
        <v>0</v>
      </c>
      <c r="O522" s="5">
        <v>63272</v>
      </c>
      <c r="P522" s="5">
        <v>12138</v>
      </c>
      <c r="Q522">
        <v>5</v>
      </c>
      <c r="R522" t="s">
        <v>41</v>
      </c>
    </row>
    <row r="523" spans="1:18">
      <c r="A523" t="s">
        <v>582</v>
      </c>
      <c r="B523" s="4">
        <v>46273</v>
      </c>
      <c r="C523" t="s">
        <v>541</v>
      </c>
      <c r="D523" t="s">
        <v>37</v>
      </c>
      <c r="E523" t="s">
        <v>59</v>
      </c>
      <c r="F523" t="s">
        <v>61</v>
      </c>
      <c r="G523" t="s">
        <v>43</v>
      </c>
      <c r="H523">
        <v>1</v>
      </c>
      <c r="I523" s="5">
        <v>479414</v>
      </c>
      <c r="J523" s="5">
        <v>76074</v>
      </c>
      <c r="K523" s="5">
        <v>403340</v>
      </c>
      <c r="L523" s="5">
        <v>278401</v>
      </c>
      <c r="M523" s="5">
        <v>29181</v>
      </c>
      <c r="N523" s="5">
        <v>0</v>
      </c>
      <c r="O523" s="5">
        <v>88128</v>
      </c>
      <c r="P523" s="5">
        <v>7630</v>
      </c>
      <c r="Q523">
        <v>4</v>
      </c>
      <c r="R523" t="s">
        <v>41</v>
      </c>
    </row>
    <row r="524" spans="1:18">
      <c r="A524" t="s">
        <v>583</v>
      </c>
      <c r="B524" s="4">
        <v>46242</v>
      </c>
      <c r="C524" t="s">
        <v>541</v>
      </c>
      <c r="D524" t="s">
        <v>37</v>
      </c>
      <c r="E524" t="s">
        <v>38</v>
      </c>
      <c r="F524" t="s">
        <v>46</v>
      </c>
      <c r="G524" t="s">
        <v>43</v>
      </c>
      <c r="H524">
        <v>2</v>
      </c>
      <c r="I524" s="5">
        <v>246143</v>
      </c>
      <c r="J524" s="5">
        <v>38732</v>
      </c>
      <c r="K524" s="5">
        <v>207411</v>
      </c>
      <c r="L524" s="5">
        <v>143810</v>
      </c>
      <c r="M524" s="5">
        <v>15791</v>
      </c>
      <c r="N524" s="5">
        <v>10529</v>
      </c>
      <c r="O524" s="5">
        <v>31322</v>
      </c>
      <c r="P524" s="5">
        <v>5959</v>
      </c>
      <c r="Q524">
        <v>7</v>
      </c>
      <c r="R524" t="s">
        <v>53</v>
      </c>
    </row>
    <row r="525" spans="1:18">
      <c r="A525" t="s">
        <v>584</v>
      </c>
      <c r="B525" s="4">
        <v>46274</v>
      </c>
      <c r="C525" t="s">
        <v>541</v>
      </c>
      <c r="D525" t="s">
        <v>37</v>
      </c>
      <c r="E525" t="s">
        <v>55</v>
      </c>
      <c r="F525" t="s">
        <v>46</v>
      </c>
      <c r="G525" t="s">
        <v>40</v>
      </c>
      <c r="H525">
        <v>5</v>
      </c>
      <c r="I525" s="5">
        <v>381745</v>
      </c>
      <c r="J525" s="5">
        <v>63641</v>
      </c>
      <c r="K525" s="5">
        <v>318104</v>
      </c>
      <c r="L525" s="5">
        <v>233240</v>
      </c>
      <c r="M525" s="5">
        <v>25778</v>
      </c>
      <c r="N525" s="5">
        <v>0</v>
      </c>
      <c r="O525" s="5">
        <v>52484</v>
      </c>
      <c r="P525" s="5">
        <v>6602</v>
      </c>
      <c r="Q525">
        <v>7</v>
      </c>
      <c r="R525" t="s">
        <v>41</v>
      </c>
    </row>
    <row r="526" spans="1:18">
      <c r="A526" t="s">
        <v>585</v>
      </c>
      <c r="B526" s="4">
        <v>46240</v>
      </c>
      <c r="C526" t="s">
        <v>541</v>
      </c>
      <c r="D526" t="s">
        <v>37</v>
      </c>
      <c r="E526" t="s">
        <v>45</v>
      </c>
      <c r="F526" t="s">
        <v>61</v>
      </c>
      <c r="G526" t="s">
        <v>40</v>
      </c>
      <c r="H526">
        <v>5</v>
      </c>
      <c r="I526" s="5">
        <v>226507</v>
      </c>
      <c r="J526" s="5">
        <v>46594</v>
      </c>
      <c r="K526" s="5">
        <v>179913</v>
      </c>
      <c r="L526" s="5">
        <v>126782</v>
      </c>
      <c r="M526" s="5">
        <v>12988</v>
      </c>
      <c r="N526" s="5">
        <v>0</v>
      </c>
      <c r="O526" s="5">
        <v>33148</v>
      </c>
      <c r="P526" s="5">
        <v>6995</v>
      </c>
      <c r="Q526">
        <v>6</v>
      </c>
      <c r="R526" t="s">
        <v>41</v>
      </c>
    </row>
    <row r="527" spans="1:18">
      <c r="A527" t="s">
        <v>586</v>
      </c>
      <c r="B527" s="4">
        <v>46247</v>
      </c>
      <c r="C527" t="s">
        <v>541</v>
      </c>
      <c r="D527" t="s">
        <v>37</v>
      </c>
      <c r="E527" t="s">
        <v>55</v>
      </c>
      <c r="F527" t="s">
        <v>61</v>
      </c>
      <c r="G527" t="s">
        <v>43</v>
      </c>
      <c r="H527">
        <v>3</v>
      </c>
      <c r="I527" s="5">
        <v>557945</v>
      </c>
      <c r="J527" s="5">
        <v>136137</v>
      </c>
      <c r="K527" s="5">
        <v>421808</v>
      </c>
      <c r="L527" s="5">
        <v>289773</v>
      </c>
      <c r="M527" s="5">
        <v>36530</v>
      </c>
      <c r="N527" s="5">
        <v>26742</v>
      </c>
      <c r="O527" s="5">
        <v>54284</v>
      </c>
      <c r="P527" s="5">
        <v>14479</v>
      </c>
      <c r="Q527">
        <v>7</v>
      </c>
      <c r="R527" t="s">
        <v>53</v>
      </c>
    </row>
    <row r="528" spans="1:18">
      <c r="A528" t="s">
        <v>587</v>
      </c>
      <c r="B528" s="4">
        <v>46243</v>
      </c>
      <c r="C528" t="s">
        <v>541</v>
      </c>
      <c r="D528" t="s">
        <v>37</v>
      </c>
      <c r="E528" t="s">
        <v>59</v>
      </c>
      <c r="F528" t="s">
        <v>61</v>
      </c>
      <c r="G528" t="s">
        <v>43</v>
      </c>
      <c r="H528">
        <v>1</v>
      </c>
      <c r="I528" s="5">
        <v>216420</v>
      </c>
      <c r="J528" s="5">
        <v>46751</v>
      </c>
      <c r="K528" s="5">
        <v>169669</v>
      </c>
      <c r="L528" s="5">
        <v>105817</v>
      </c>
      <c r="M528" s="5">
        <v>10776</v>
      </c>
      <c r="N528" s="5">
        <v>0</v>
      </c>
      <c r="O528" s="5">
        <v>37867</v>
      </c>
      <c r="P528" s="5">
        <v>15209</v>
      </c>
      <c r="Q528">
        <v>6</v>
      </c>
      <c r="R528" t="s">
        <v>41</v>
      </c>
    </row>
    <row r="529" spans="1:18">
      <c r="A529" t="s">
        <v>588</v>
      </c>
      <c r="B529" s="4">
        <v>46276</v>
      </c>
      <c r="C529" t="s">
        <v>541</v>
      </c>
      <c r="D529" t="s">
        <v>37</v>
      </c>
      <c r="E529" t="s">
        <v>55</v>
      </c>
      <c r="F529" t="s">
        <v>39</v>
      </c>
      <c r="G529" t="s">
        <v>40</v>
      </c>
      <c r="H529">
        <v>6</v>
      </c>
      <c r="I529" s="5">
        <v>388073</v>
      </c>
      <c r="J529" s="5">
        <v>68436</v>
      </c>
      <c r="K529" s="5">
        <v>319637</v>
      </c>
      <c r="L529" s="5">
        <v>219110</v>
      </c>
      <c r="M529" s="5">
        <v>24228</v>
      </c>
      <c r="N529" s="5">
        <v>0</v>
      </c>
      <c r="O529" s="5">
        <v>65551</v>
      </c>
      <c r="P529" s="5">
        <v>10748</v>
      </c>
      <c r="Q529">
        <v>6</v>
      </c>
      <c r="R529" t="s">
        <v>41</v>
      </c>
    </row>
    <row r="530" spans="1:18">
      <c r="A530" t="s">
        <v>589</v>
      </c>
      <c r="B530" s="4">
        <v>46216</v>
      </c>
      <c r="C530" t="s">
        <v>541</v>
      </c>
      <c r="D530" t="s">
        <v>37</v>
      </c>
      <c r="E530" t="s">
        <v>55</v>
      </c>
      <c r="F530" t="s">
        <v>61</v>
      </c>
      <c r="G530" t="s">
        <v>40</v>
      </c>
      <c r="H530">
        <v>3</v>
      </c>
      <c r="I530" s="5">
        <v>306370</v>
      </c>
      <c r="J530" s="5">
        <v>52914</v>
      </c>
      <c r="K530" s="5">
        <v>253456</v>
      </c>
      <c r="L530" s="5">
        <v>174533</v>
      </c>
      <c r="M530" s="5">
        <v>20401</v>
      </c>
      <c r="N530" s="5">
        <v>0</v>
      </c>
      <c r="O530" s="5">
        <v>51413</v>
      </c>
      <c r="P530" s="5">
        <v>7109</v>
      </c>
      <c r="Q530">
        <v>6</v>
      </c>
      <c r="R530" t="s">
        <v>41</v>
      </c>
    </row>
    <row r="531" spans="1:18">
      <c r="A531" t="s">
        <v>590</v>
      </c>
      <c r="B531" s="4">
        <v>46259</v>
      </c>
      <c r="C531" t="s">
        <v>541</v>
      </c>
      <c r="D531" t="s">
        <v>37</v>
      </c>
      <c r="E531" t="s">
        <v>38</v>
      </c>
      <c r="F531" t="s">
        <v>46</v>
      </c>
      <c r="G531" t="s">
        <v>40</v>
      </c>
      <c r="H531">
        <v>5</v>
      </c>
      <c r="I531" s="5">
        <v>413717</v>
      </c>
      <c r="J531" s="5">
        <v>48024</v>
      </c>
      <c r="K531" s="5">
        <v>365693</v>
      </c>
      <c r="L531" s="5">
        <v>259292</v>
      </c>
      <c r="M531" s="5">
        <v>23357</v>
      </c>
      <c r="N531" s="5">
        <v>0</v>
      </c>
      <c r="O531" s="5">
        <v>67715</v>
      </c>
      <c r="P531" s="5">
        <v>15329</v>
      </c>
      <c r="Q531">
        <v>6</v>
      </c>
      <c r="R531" t="s">
        <v>41</v>
      </c>
    </row>
    <row r="532" spans="1:18">
      <c r="A532" t="s">
        <v>591</v>
      </c>
      <c r="B532" s="4">
        <v>46283</v>
      </c>
      <c r="C532" t="s">
        <v>541</v>
      </c>
      <c r="D532" t="s">
        <v>37</v>
      </c>
      <c r="E532" t="s">
        <v>59</v>
      </c>
      <c r="F532" t="s">
        <v>49</v>
      </c>
      <c r="G532" t="s">
        <v>40</v>
      </c>
      <c r="H532">
        <v>5</v>
      </c>
      <c r="I532" s="5">
        <v>408112</v>
      </c>
      <c r="J532" s="5">
        <v>75969</v>
      </c>
      <c r="K532" s="5">
        <v>332143</v>
      </c>
      <c r="L532" s="5">
        <v>230525</v>
      </c>
      <c r="M532" s="5">
        <v>27053</v>
      </c>
      <c r="N532" s="5">
        <v>0</v>
      </c>
      <c r="O532" s="5">
        <v>68595</v>
      </c>
      <c r="P532" s="5">
        <v>5970</v>
      </c>
      <c r="Q532">
        <v>7</v>
      </c>
      <c r="R532" t="s">
        <v>41</v>
      </c>
    </row>
    <row r="533" spans="1:18">
      <c r="A533" t="s">
        <v>592</v>
      </c>
      <c r="B533" s="4">
        <v>46213</v>
      </c>
      <c r="C533" t="s">
        <v>541</v>
      </c>
      <c r="D533" t="s">
        <v>37</v>
      </c>
      <c r="E533" t="s">
        <v>45</v>
      </c>
      <c r="F533" t="s">
        <v>49</v>
      </c>
      <c r="G533" t="s">
        <v>43</v>
      </c>
      <c r="H533">
        <v>4</v>
      </c>
      <c r="I533" s="5">
        <v>456080</v>
      </c>
      <c r="J533" s="5">
        <v>79003</v>
      </c>
      <c r="K533" s="5">
        <v>377077</v>
      </c>
      <c r="L533" s="5">
        <v>276598</v>
      </c>
      <c r="M533" s="5">
        <v>29057</v>
      </c>
      <c r="N533" s="5">
        <v>0</v>
      </c>
      <c r="O533" s="5">
        <v>62110</v>
      </c>
      <c r="P533" s="5">
        <v>9312</v>
      </c>
      <c r="Q533">
        <v>6</v>
      </c>
      <c r="R533" t="s">
        <v>41</v>
      </c>
    </row>
    <row r="534" spans="1:18">
      <c r="A534" t="s">
        <v>593</v>
      </c>
      <c r="B534" s="4">
        <v>46289</v>
      </c>
      <c r="C534" t="s">
        <v>541</v>
      </c>
      <c r="D534" t="s">
        <v>37</v>
      </c>
      <c r="E534" t="s">
        <v>38</v>
      </c>
      <c r="F534" t="s">
        <v>61</v>
      </c>
      <c r="G534" t="s">
        <v>40</v>
      </c>
      <c r="H534">
        <v>5</v>
      </c>
      <c r="I534" s="5">
        <v>237089</v>
      </c>
      <c r="J534" s="5">
        <v>38953</v>
      </c>
      <c r="K534" s="5">
        <v>198136</v>
      </c>
      <c r="L534" s="5">
        <v>136636</v>
      </c>
      <c r="M534" s="5">
        <v>13343</v>
      </c>
      <c r="N534" s="5">
        <v>0</v>
      </c>
      <c r="O534" s="5">
        <v>40511</v>
      </c>
      <c r="P534" s="5">
        <v>7646</v>
      </c>
      <c r="Q534">
        <v>5</v>
      </c>
      <c r="R534" t="s">
        <v>41</v>
      </c>
    </row>
    <row r="535" spans="1:18">
      <c r="A535" t="s">
        <v>594</v>
      </c>
      <c r="B535" s="4">
        <v>46285</v>
      </c>
      <c r="C535" t="s">
        <v>541</v>
      </c>
      <c r="D535" t="s">
        <v>37</v>
      </c>
      <c r="E535" t="s">
        <v>55</v>
      </c>
      <c r="F535" t="s">
        <v>49</v>
      </c>
      <c r="G535" t="s">
        <v>40</v>
      </c>
      <c r="H535">
        <v>5</v>
      </c>
      <c r="I535" s="5">
        <v>202814</v>
      </c>
      <c r="J535" s="5">
        <v>26068</v>
      </c>
      <c r="K535" s="5">
        <v>176746</v>
      </c>
      <c r="L535" s="5">
        <v>127187</v>
      </c>
      <c r="M535" s="5">
        <v>16447</v>
      </c>
      <c r="N535" s="5">
        <v>0</v>
      </c>
      <c r="O535" s="5">
        <v>25016</v>
      </c>
      <c r="P535" s="5">
        <v>8096</v>
      </c>
      <c r="Q535">
        <v>6</v>
      </c>
      <c r="R535" t="s">
        <v>41</v>
      </c>
    </row>
    <row r="536" spans="1:18">
      <c r="A536" t="s">
        <v>595</v>
      </c>
      <c r="B536" s="4">
        <v>46259</v>
      </c>
      <c r="C536" t="s">
        <v>541</v>
      </c>
      <c r="D536" t="s">
        <v>37</v>
      </c>
      <c r="E536" t="s">
        <v>55</v>
      </c>
      <c r="F536" t="s">
        <v>39</v>
      </c>
      <c r="G536" t="s">
        <v>40</v>
      </c>
      <c r="H536">
        <v>6</v>
      </c>
      <c r="I536" s="5">
        <v>245006</v>
      </c>
      <c r="J536" s="5">
        <v>47017</v>
      </c>
      <c r="K536" s="5">
        <v>197989</v>
      </c>
      <c r="L536" s="5">
        <v>130472</v>
      </c>
      <c r="M536" s="5">
        <v>16709</v>
      </c>
      <c r="N536" s="5">
        <v>0</v>
      </c>
      <c r="O536" s="5">
        <v>38774</v>
      </c>
      <c r="P536" s="5">
        <v>12034</v>
      </c>
      <c r="Q536">
        <v>8</v>
      </c>
      <c r="R536" t="s">
        <v>41</v>
      </c>
    </row>
    <row r="537" spans="1:18">
      <c r="A537" t="s">
        <v>596</v>
      </c>
      <c r="B537" s="4">
        <v>46280</v>
      </c>
      <c r="C537" t="s">
        <v>541</v>
      </c>
      <c r="D537" t="s">
        <v>37</v>
      </c>
      <c r="E537" t="s">
        <v>38</v>
      </c>
      <c r="F537" t="s">
        <v>46</v>
      </c>
      <c r="G537" t="s">
        <v>40</v>
      </c>
      <c r="H537">
        <v>1</v>
      </c>
      <c r="I537" s="5">
        <v>283969</v>
      </c>
      <c r="J537" s="5">
        <v>54063</v>
      </c>
      <c r="K537" s="5">
        <v>229906</v>
      </c>
      <c r="L537" s="5">
        <v>162084</v>
      </c>
      <c r="M537" s="5">
        <v>18449</v>
      </c>
      <c r="N537" s="5">
        <v>0</v>
      </c>
      <c r="O537" s="5">
        <v>34395</v>
      </c>
      <c r="P537" s="5">
        <v>14978</v>
      </c>
      <c r="Q537">
        <v>7</v>
      </c>
      <c r="R537" t="s">
        <v>41</v>
      </c>
    </row>
    <row r="538" spans="1:18">
      <c r="A538" t="s">
        <v>597</v>
      </c>
      <c r="B538" s="4">
        <v>46259</v>
      </c>
      <c r="C538" t="s">
        <v>541</v>
      </c>
      <c r="D538" t="s">
        <v>37</v>
      </c>
      <c r="E538" t="s">
        <v>55</v>
      </c>
      <c r="F538" t="s">
        <v>61</v>
      </c>
      <c r="G538" t="s">
        <v>40</v>
      </c>
      <c r="H538">
        <v>2</v>
      </c>
      <c r="I538" s="5">
        <v>411940</v>
      </c>
      <c r="J538" s="5">
        <v>76159</v>
      </c>
      <c r="K538" s="5">
        <v>335781</v>
      </c>
      <c r="L538" s="5">
        <v>244697</v>
      </c>
      <c r="M538" s="5">
        <v>23574</v>
      </c>
      <c r="N538" s="5">
        <v>0</v>
      </c>
      <c r="O538" s="5">
        <v>57240</v>
      </c>
      <c r="P538" s="5">
        <v>10270</v>
      </c>
      <c r="Q538">
        <v>6</v>
      </c>
      <c r="R538" t="s">
        <v>41</v>
      </c>
    </row>
    <row r="539" spans="1:18">
      <c r="A539" t="s">
        <v>598</v>
      </c>
      <c r="B539" s="4">
        <v>46286</v>
      </c>
      <c r="C539" t="s">
        <v>541</v>
      </c>
      <c r="D539" t="s">
        <v>37</v>
      </c>
      <c r="E539" t="s">
        <v>59</v>
      </c>
      <c r="F539" t="s">
        <v>46</v>
      </c>
      <c r="G539" t="s">
        <v>40</v>
      </c>
      <c r="H539">
        <v>1</v>
      </c>
      <c r="I539" s="5">
        <v>202848</v>
      </c>
      <c r="J539" s="5">
        <v>36267</v>
      </c>
      <c r="K539" s="5">
        <v>166581</v>
      </c>
      <c r="L539" s="5">
        <v>120222</v>
      </c>
      <c r="M539" s="5">
        <v>11382</v>
      </c>
      <c r="N539" s="5">
        <v>0</v>
      </c>
      <c r="O539" s="5">
        <v>28464</v>
      </c>
      <c r="P539" s="5">
        <v>6513</v>
      </c>
      <c r="Q539">
        <v>6</v>
      </c>
      <c r="R539" t="s">
        <v>41</v>
      </c>
    </row>
    <row r="540" spans="1:18">
      <c r="A540" t="s">
        <v>599</v>
      </c>
      <c r="B540" s="4">
        <v>46256</v>
      </c>
      <c r="C540" t="s">
        <v>541</v>
      </c>
      <c r="D540" t="s">
        <v>37</v>
      </c>
      <c r="E540" t="s">
        <v>45</v>
      </c>
      <c r="F540" t="s">
        <v>61</v>
      </c>
      <c r="G540" t="s">
        <v>43</v>
      </c>
      <c r="H540">
        <v>6</v>
      </c>
      <c r="I540" s="5">
        <v>340299</v>
      </c>
      <c r="J540" s="5">
        <v>64423</v>
      </c>
      <c r="K540" s="5">
        <v>275876</v>
      </c>
      <c r="L540" s="5">
        <v>198162</v>
      </c>
      <c r="M540" s="5">
        <v>25558</v>
      </c>
      <c r="N540" s="5">
        <v>0</v>
      </c>
      <c r="O540" s="5">
        <v>46203</v>
      </c>
      <c r="P540" s="5">
        <v>5953</v>
      </c>
      <c r="Q540">
        <v>5</v>
      </c>
      <c r="R540" t="s">
        <v>41</v>
      </c>
    </row>
    <row r="541" spans="1:18">
      <c r="A541" t="s">
        <v>600</v>
      </c>
      <c r="B541" s="4">
        <v>46278</v>
      </c>
      <c r="C541" t="s">
        <v>541</v>
      </c>
      <c r="D541" t="s">
        <v>37</v>
      </c>
      <c r="E541" t="s">
        <v>45</v>
      </c>
      <c r="F541" t="s">
        <v>46</v>
      </c>
      <c r="G541" t="s">
        <v>40</v>
      </c>
      <c r="H541">
        <v>2</v>
      </c>
      <c r="I541" s="5">
        <v>536870</v>
      </c>
      <c r="J541" s="5">
        <v>104225</v>
      </c>
      <c r="K541" s="5">
        <v>432645</v>
      </c>
      <c r="L541" s="5">
        <v>308256</v>
      </c>
      <c r="M541" s="5">
        <v>33721</v>
      </c>
      <c r="N541" s="5">
        <v>23841</v>
      </c>
      <c r="O541" s="5">
        <v>55650</v>
      </c>
      <c r="P541" s="5">
        <v>11177</v>
      </c>
      <c r="Q541">
        <v>5</v>
      </c>
      <c r="R541" t="s">
        <v>53</v>
      </c>
    </row>
    <row r="542" spans="1:18">
      <c r="A542" t="s">
        <v>601</v>
      </c>
      <c r="B542" s="4">
        <v>46234</v>
      </c>
      <c r="C542" t="s">
        <v>541</v>
      </c>
      <c r="D542" t="s">
        <v>37</v>
      </c>
      <c r="E542" t="s">
        <v>55</v>
      </c>
      <c r="F542" t="s">
        <v>51</v>
      </c>
      <c r="G542" t="s">
        <v>40</v>
      </c>
      <c r="H542">
        <v>1</v>
      </c>
      <c r="I542" s="5">
        <v>422742</v>
      </c>
      <c r="J542" s="5">
        <v>55457</v>
      </c>
      <c r="K542" s="5">
        <v>367285</v>
      </c>
      <c r="L542" s="5">
        <v>255092</v>
      </c>
      <c r="M542" s="5">
        <v>33603</v>
      </c>
      <c r="N542" s="5">
        <v>0</v>
      </c>
      <c r="O542" s="5">
        <v>71500</v>
      </c>
      <c r="P542" s="5">
        <v>7090</v>
      </c>
      <c r="Q542">
        <v>4</v>
      </c>
      <c r="R542" t="s">
        <v>41</v>
      </c>
    </row>
    <row r="543" spans="1:18">
      <c r="A543" t="s">
        <v>602</v>
      </c>
      <c r="B543" s="4">
        <v>46266</v>
      </c>
      <c r="C543" t="s">
        <v>541</v>
      </c>
      <c r="D543" t="s">
        <v>37</v>
      </c>
      <c r="E543" t="s">
        <v>45</v>
      </c>
      <c r="F543" t="s">
        <v>61</v>
      </c>
      <c r="G543" t="s">
        <v>43</v>
      </c>
      <c r="H543">
        <v>5</v>
      </c>
      <c r="I543" s="5">
        <v>443392</v>
      </c>
      <c r="J543" s="5">
        <v>98426</v>
      </c>
      <c r="K543" s="5">
        <v>344966</v>
      </c>
      <c r="L543" s="5">
        <v>244119</v>
      </c>
      <c r="M543" s="5">
        <v>23806</v>
      </c>
      <c r="N543" s="5">
        <v>0</v>
      </c>
      <c r="O543" s="5">
        <v>71340</v>
      </c>
      <c r="P543" s="5">
        <v>5701</v>
      </c>
      <c r="Q543">
        <v>10</v>
      </c>
      <c r="R543" t="s">
        <v>41</v>
      </c>
    </row>
    <row r="544" spans="1:18">
      <c r="A544" t="s">
        <v>603</v>
      </c>
      <c r="B544" s="4">
        <v>46250</v>
      </c>
      <c r="C544" t="s">
        <v>541</v>
      </c>
      <c r="D544" t="s">
        <v>37</v>
      </c>
      <c r="E544" t="s">
        <v>55</v>
      </c>
      <c r="F544" t="s">
        <v>39</v>
      </c>
      <c r="G544" t="s">
        <v>43</v>
      </c>
      <c r="H544">
        <v>1</v>
      </c>
      <c r="I544" s="5">
        <v>389629</v>
      </c>
      <c r="J544" s="5">
        <v>51794</v>
      </c>
      <c r="K544" s="5">
        <v>337835</v>
      </c>
      <c r="L544" s="5">
        <v>250633</v>
      </c>
      <c r="M544" s="5">
        <v>31113</v>
      </c>
      <c r="N544" s="5">
        <v>0</v>
      </c>
      <c r="O544" s="5">
        <v>45154</v>
      </c>
      <c r="P544" s="5">
        <v>10935</v>
      </c>
      <c r="Q544">
        <v>7</v>
      </c>
      <c r="R544" t="s">
        <v>41</v>
      </c>
    </row>
    <row r="545" spans="1:18">
      <c r="A545" t="s">
        <v>604</v>
      </c>
      <c r="B545" s="4">
        <v>46210</v>
      </c>
      <c r="C545" t="s">
        <v>541</v>
      </c>
      <c r="D545" t="s">
        <v>37</v>
      </c>
      <c r="E545" t="s">
        <v>38</v>
      </c>
      <c r="F545" t="s">
        <v>39</v>
      </c>
      <c r="G545" t="s">
        <v>43</v>
      </c>
      <c r="H545">
        <v>3</v>
      </c>
      <c r="I545" s="5">
        <v>424166</v>
      </c>
      <c r="J545" s="5">
        <v>56661</v>
      </c>
      <c r="K545" s="5">
        <v>367505</v>
      </c>
      <c r="L545" s="5">
        <v>246852</v>
      </c>
      <c r="M545" s="5">
        <v>32369</v>
      </c>
      <c r="N545" s="5">
        <v>0</v>
      </c>
      <c r="O545" s="5">
        <v>82133</v>
      </c>
      <c r="P545" s="5">
        <v>6151</v>
      </c>
      <c r="Q545">
        <v>3</v>
      </c>
      <c r="R545" t="s">
        <v>41</v>
      </c>
    </row>
    <row r="546" spans="1:18">
      <c r="A546" t="s">
        <v>605</v>
      </c>
      <c r="B546" s="4">
        <v>46234</v>
      </c>
      <c r="C546" t="s">
        <v>541</v>
      </c>
      <c r="D546" t="s">
        <v>37</v>
      </c>
      <c r="E546" t="s">
        <v>55</v>
      </c>
      <c r="F546" t="s">
        <v>46</v>
      </c>
      <c r="G546" t="s">
        <v>40</v>
      </c>
      <c r="H546">
        <v>4</v>
      </c>
      <c r="I546" s="5">
        <v>256318</v>
      </c>
      <c r="J546" s="5">
        <v>37185</v>
      </c>
      <c r="K546" s="5">
        <v>219133</v>
      </c>
      <c r="L546" s="5">
        <v>160790</v>
      </c>
      <c r="M546" s="5">
        <v>18461</v>
      </c>
      <c r="N546" s="5">
        <v>0</v>
      </c>
      <c r="O546" s="5">
        <v>31959</v>
      </c>
      <c r="P546" s="5">
        <v>7923</v>
      </c>
      <c r="Q546">
        <v>4</v>
      </c>
      <c r="R546" t="s">
        <v>41</v>
      </c>
    </row>
    <row r="547" spans="1:18">
      <c r="A547" t="s">
        <v>606</v>
      </c>
      <c r="B547" s="4">
        <v>46242</v>
      </c>
      <c r="C547" t="s">
        <v>541</v>
      </c>
      <c r="D547" t="s">
        <v>37</v>
      </c>
      <c r="E547" t="s">
        <v>38</v>
      </c>
      <c r="F547" t="s">
        <v>51</v>
      </c>
      <c r="G547" t="s">
        <v>43</v>
      </c>
      <c r="H547">
        <v>6</v>
      </c>
      <c r="I547" s="5">
        <v>494289</v>
      </c>
      <c r="J547" s="5">
        <v>123713</v>
      </c>
      <c r="K547" s="5">
        <v>370576</v>
      </c>
      <c r="L547" s="5">
        <v>254828</v>
      </c>
      <c r="M547" s="5">
        <v>35121</v>
      </c>
      <c r="N547" s="5">
        <v>0</v>
      </c>
      <c r="O547" s="5">
        <v>70447</v>
      </c>
      <c r="P547" s="5">
        <v>10180</v>
      </c>
      <c r="Q547">
        <v>4</v>
      </c>
      <c r="R547" t="s">
        <v>41</v>
      </c>
    </row>
    <row r="548" spans="1:18">
      <c r="A548" t="s">
        <v>607</v>
      </c>
      <c r="B548" s="4">
        <v>46214</v>
      </c>
      <c r="C548" t="s">
        <v>541</v>
      </c>
      <c r="D548" t="s">
        <v>37</v>
      </c>
      <c r="E548" t="s">
        <v>55</v>
      </c>
      <c r="F548" t="s">
        <v>46</v>
      </c>
      <c r="G548" t="s">
        <v>43</v>
      </c>
      <c r="H548">
        <v>3</v>
      </c>
      <c r="I548" s="5">
        <v>265775</v>
      </c>
      <c r="J548" s="5">
        <v>40869</v>
      </c>
      <c r="K548" s="5">
        <v>224906</v>
      </c>
      <c r="L548" s="5">
        <v>157394</v>
      </c>
      <c r="M548" s="5">
        <v>19529</v>
      </c>
      <c r="N548" s="5">
        <v>0</v>
      </c>
      <c r="O548" s="5">
        <v>36349</v>
      </c>
      <c r="P548" s="5">
        <v>11634</v>
      </c>
      <c r="Q548">
        <v>9</v>
      </c>
      <c r="R548" t="s">
        <v>41</v>
      </c>
    </row>
    <row r="549" spans="1:18">
      <c r="A549" t="s">
        <v>608</v>
      </c>
      <c r="B549" s="4">
        <v>46268</v>
      </c>
      <c r="C549" t="s">
        <v>541</v>
      </c>
      <c r="D549" t="s">
        <v>37</v>
      </c>
      <c r="E549" t="s">
        <v>59</v>
      </c>
      <c r="F549" t="s">
        <v>39</v>
      </c>
      <c r="G549" t="s">
        <v>43</v>
      </c>
      <c r="H549">
        <v>5</v>
      </c>
      <c r="I549" s="5">
        <v>194980</v>
      </c>
      <c r="J549" s="5">
        <v>32255</v>
      </c>
      <c r="K549" s="5">
        <v>162725</v>
      </c>
      <c r="L549" s="5">
        <v>115200</v>
      </c>
      <c r="M549" s="5">
        <v>14208</v>
      </c>
      <c r="N549" s="5">
        <v>0</v>
      </c>
      <c r="O549" s="5">
        <v>23414</v>
      </c>
      <c r="P549" s="5">
        <v>9903</v>
      </c>
      <c r="Q549">
        <v>2</v>
      </c>
      <c r="R549" t="s">
        <v>41</v>
      </c>
    </row>
    <row r="550" spans="1:18">
      <c r="A550" t="s">
        <v>609</v>
      </c>
      <c r="B550" s="4">
        <v>46286</v>
      </c>
      <c r="C550" t="s">
        <v>541</v>
      </c>
      <c r="D550" t="s">
        <v>37</v>
      </c>
      <c r="E550" t="s">
        <v>38</v>
      </c>
      <c r="F550" t="s">
        <v>46</v>
      </c>
      <c r="G550" t="s">
        <v>40</v>
      </c>
      <c r="H550">
        <v>1</v>
      </c>
      <c r="I550" s="5">
        <v>311371</v>
      </c>
      <c r="J550" s="5">
        <v>54260</v>
      </c>
      <c r="K550" s="5">
        <v>257111</v>
      </c>
      <c r="L550" s="5">
        <v>172864</v>
      </c>
      <c r="M550" s="5">
        <v>21396</v>
      </c>
      <c r="N550" s="5">
        <v>0</v>
      </c>
      <c r="O550" s="5">
        <v>49414</v>
      </c>
      <c r="P550" s="5">
        <v>13437</v>
      </c>
      <c r="Q550">
        <v>4</v>
      </c>
      <c r="R550" t="s">
        <v>41</v>
      </c>
    </row>
    <row r="551" spans="1:18">
      <c r="A551" t="s">
        <v>610</v>
      </c>
      <c r="B551" s="4">
        <v>46287</v>
      </c>
      <c r="C551" t="s">
        <v>541</v>
      </c>
      <c r="D551" t="s">
        <v>37</v>
      </c>
      <c r="E551" t="s">
        <v>38</v>
      </c>
      <c r="F551" t="s">
        <v>49</v>
      </c>
      <c r="G551" t="s">
        <v>43</v>
      </c>
      <c r="H551">
        <v>3</v>
      </c>
      <c r="I551" s="5">
        <v>503340</v>
      </c>
      <c r="J551" s="5">
        <v>70489</v>
      </c>
      <c r="K551" s="5">
        <v>432851</v>
      </c>
      <c r="L551" s="5">
        <v>295889</v>
      </c>
      <c r="M551" s="5">
        <v>26441</v>
      </c>
      <c r="N551" s="5">
        <v>21162</v>
      </c>
      <c r="O551" s="5">
        <v>74292</v>
      </c>
      <c r="P551" s="5">
        <v>15067</v>
      </c>
      <c r="Q551">
        <v>7</v>
      </c>
      <c r="R551" t="s">
        <v>53</v>
      </c>
    </row>
    <row r="552" spans="1:18">
      <c r="A552" t="s">
        <v>611</v>
      </c>
      <c r="B552" s="4">
        <v>46245</v>
      </c>
      <c r="C552" t="s">
        <v>541</v>
      </c>
      <c r="D552" t="s">
        <v>37</v>
      </c>
      <c r="E552" t="s">
        <v>45</v>
      </c>
      <c r="F552" t="s">
        <v>51</v>
      </c>
      <c r="G552" t="s">
        <v>40</v>
      </c>
      <c r="H552">
        <v>4</v>
      </c>
      <c r="I552" s="5">
        <v>247095</v>
      </c>
      <c r="J552" s="5">
        <v>27701</v>
      </c>
      <c r="K552" s="5">
        <v>219394</v>
      </c>
      <c r="L552" s="5">
        <v>146380</v>
      </c>
      <c r="M552" s="5">
        <v>14159</v>
      </c>
      <c r="N552" s="5">
        <v>0</v>
      </c>
      <c r="O552" s="5">
        <v>50989</v>
      </c>
      <c r="P552" s="5">
        <v>7866</v>
      </c>
      <c r="Q552">
        <v>7</v>
      </c>
      <c r="R552" t="s">
        <v>41</v>
      </c>
    </row>
    <row r="553" spans="1:18">
      <c r="A553" t="s">
        <v>612</v>
      </c>
      <c r="B553" s="4">
        <v>46206</v>
      </c>
      <c r="C553" t="s">
        <v>541</v>
      </c>
      <c r="D553" t="s">
        <v>37</v>
      </c>
      <c r="E553" t="s">
        <v>59</v>
      </c>
      <c r="F553" t="s">
        <v>49</v>
      </c>
      <c r="G553" t="s">
        <v>40</v>
      </c>
      <c r="H553">
        <v>1</v>
      </c>
      <c r="I553" s="5">
        <v>450293</v>
      </c>
      <c r="J553" s="5">
        <v>70438</v>
      </c>
      <c r="K553" s="5">
        <v>379855</v>
      </c>
      <c r="L553" s="5">
        <v>266507</v>
      </c>
      <c r="M553" s="5">
        <v>34859</v>
      </c>
      <c r="N553" s="5">
        <v>0</v>
      </c>
      <c r="O553" s="5">
        <v>71915</v>
      </c>
      <c r="P553" s="5">
        <v>6574</v>
      </c>
      <c r="Q553">
        <v>7</v>
      </c>
      <c r="R553" t="s">
        <v>41</v>
      </c>
    </row>
    <row r="554" spans="1:18">
      <c r="A554" t="s">
        <v>613</v>
      </c>
      <c r="B554" s="4">
        <v>46258</v>
      </c>
      <c r="C554" t="s">
        <v>541</v>
      </c>
      <c r="D554" t="s">
        <v>37</v>
      </c>
      <c r="E554" t="s">
        <v>45</v>
      </c>
      <c r="F554" t="s">
        <v>51</v>
      </c>
      <c r="G554" t="s">
        <v>40</v>
      </c>
      <c r="H554">
        <v>3</v>
      </c>
      <c r="I554" s="5">
        <v>246107</v>
      </c>
      <c r="J554" s="5">
        <v>49950</v>
      </c>
      <c r="K554" s="5">
        <v>196157</v>
      </c>
      <c r="L554" s="5">
        <v>139939</v>
      </c>
      <c r="M554" s="5">
        <v>12570</v>
      </c>
      <c r="N554" s="5">
        <v>0</v>
      </c>
      <c r="O554" s="5">
        <v>35806</v>
      </c>
      <c r="P554" s="5">
        <v>7842</v>
      </c>
      <c r="Q554">
        <v>6</v>
      </c>
      <c r="R554" t="s">
        <v>41</v>
      </c>
    </row>
    <row r="555" spans="1:18">
      <c r="A555" t="s">
        <v>614</v>
      </c>
      <c r="B555" s="4">
        <v>46262</v>
      </c>
      <c r="C555" t="s">
        <v>541</v>
      </c>
      <c r="D555" t="s">
        <v>37</v>
      </c>
      <c r="E555" t="s">
        <v>55</v>
      </c>
      <c r="F555" t="s">
        <v>61</v>
      </c>
      <c r="G555" t="s">
        <v>40</v>
      </c>
      <c r="H555">
        <v>6</v>
      </c>
      <c r="I555" s="5">
        <v>206405</v>
      </c>
      <c r="J555" s="5">
        <v>41651</v>
      </c>
      <c r="K555" s="5">
        <v>164754</v>
      </c>
      <c r="L555" s="5">
        <v>106831</v>
      </c>
      <c r="M555" s="5">
        <v>12707</v>
      </c>
      <c r="N555" s="5">
        <v>0</v>
      </c>
      <c r="O555" s="5">
        <v>37274</v>
      </c>
      <c r="P555" s="5">
        <v>7942</v>
      </c>
      <c r="Q555">
        <v>8</v>
      </c>
      <c r="R555" t="s">
        <v>41</v>
      </c>
    </row>
    <row r="556" spans="1:18">
      <c r="A556" t="s">
        <v>615</v>
      </c>
      <c r="B556" s="4">
        <v>46252</v>
      </c>
      <c r="C556" t="s">
        <v>541</v>
      </c>
      <c r="D556" t="s">
        <v>37</v>
      </c>
      <c r="E556" t="s">
        <v>38</v>
      </c>
      <c r="F556" t="s">
        <v>46</v>
      </c>
      <c r="G556" t="s">
        <v>40</v>
      </c>
      <c r="H556">
        <v>5</v>
      </c>
      <c r="I556" s="5">
        <v>538137</v>
      </c>
      <c r="J556" s="5">
        <v>110071</v>
      </c>
      <c r="K556" s="5">
        <v>428066</v>
      </c>
      <c r="L556" s="5">
        <v>315016</v>
      </c>
      <c r="M556" s="5">
        <v>29547</v>
      </c>
      <c r="N556" s="5">
        <v>0</v>
      </c>
      <c r="O556" s="5">
        <v>73670</v>
      </c>
      <c r="P556" s="5">
        <v>9833</v>
      </c>
      <c r="Q556">
        <v>10</v>
      </c>
      <c r="R556" t="s">
        <v>41</v>
      </c>
    </row>
    <row r="557" spans="1:18">
      <c r="A557" t="s">
        <v>616</v>
      </c>
      <c r="B557" s="4">
        <v>46207</v>
      </c>
      <c r="C557" t="s">
        <v>541</v>
      </c>
      <c r="D557" t="s">
        <v>37</v>
      </c>
      <c r="E557" t="s">
        <v>45</v>
      </c>
      <c r="F557" t="s">
        <v>39</v>
      </c>
      <c r="G557" t="s">
        <v>40</v>
      </c>
      <c r="H557">
        <v>5</v>
      </c>
      <c r="I557" s="5">
        <v>251536</v>
      </c>
      <c r="J557" s="5">
        <v>48800</v>
      </c>
      <c r="K557" s="5">
        <v>202736</v>
      </c>
      <c r="L557" s="5">
        <v>145498</v>
      </c>
      <c r="M557" s="5">
        <v>13190</v>
      </c>
      <c r="N557" s="5">
        <v>12043</v>
      </c>
      <c r="O557" s="5">
        <v>24463</v>
      </c>
      <c r="P557" s="5">
        <v>7542</v>
      </c>
      <c r="Q557">
        <v>9</v>
      </c>
      <c r="R557" t="s">
        <v>53</v>
      </c>
    </row>
    <row r="558" spans="1:18">
      <c r="A558" t="s">
        <v>617</v>
      </c>
      <c r="B558" s="4">
        <v>46245</v>
      </c>
      <c r="C558" t="s">
        <v>541</v>
      </c>
      <c r="D558" t="s">
        <v>37</v>
      </c>
      <c r="E558" t="s">
        <v>55</v>
      </c>
      <c r="F558" t="s">
        <v>51</v>
      </c>
      <c r="G558" t="s">
        <v>43</v>
      </c>
      <c r="H558">
        <v>6</v>
      </c>
      <c r="I558" s="5">
        <v>305586</v>
      </c>
      <c r="J558" s="5">
        <v>47305</v>
      </c>
      <c r="K558" s="5">
        <v>258281</v>
      </c>
      <c r="L558" s="5">
        <v>178199</v>
      </c>
      <c r="M558" s="5">
        <v>20895</v>
      </c>
      <c r="N558" s="5">
        <v>11861</v>
      </c>
      <c r="O558" s="5">
        <v>32334</v>
      </c>
      <c r="P558" s="5">
        <v>14992</v>
      </c>
      <c r="Q558">
        <v>6</v>
      </c>
      <c r="R558" t="s">
        <v>53</v>
      </c>
    </row>
    <row r="559" spans="1:18">
      <c r="A559" t="s">
        <v>618</v>
      </c>
      <c r="B559" s="4">
        <v>46264</v>
      </c>
      <c r="C559" t="s">
        <v>541</v>
      </c>
      <c r="D559" t="s">
        <v>37</v>
      </c>
      <c r="E559" t="s">
        <v>45</v>
      </c>
      <c r="F559" t="s">
        <v>49</v>
      </c>
      <c r="G559" t="s">
        <v>40</v>
      </c>
      <c r="H559">
        <v>1</v>
      </c>
      <c r="I559" s="5">
        <v>384583</v>
      </c>
      <c r="J559" s="5">
        <v>53141</v>
      </c>
      <c r="K559" s="5">
        <v>331442</v>
      </c>
      <c r="L559" s="5">
        <v>223316</v>
      </c>
      <c r="M559" s="5">
        <v>26762</v>
      </c>
      <c r="N559" s="5">
        <v>21871</v>
      </c>
      <c r="O559" s="5">
        <v>53313</v>
      </c>
      <c r="P559" s="5">
        <v>6180</v>
      </c>
      <c r="Q559">
        <v>7</v>
      </c>
      <c r="R559" t="s">
        <v>53</v>
      </c>
    </row>
    <row r="560" spans="1:18">
      <c r="A560" t="s">
        <v>619</v>
      </c>
      <c r="B560" s="4">
        <v>46275</v>
      </c>
      <c r="C560" t="s">
        <v>541</v>
      </c>
      <c r="D560" t="s">
        <v>37</v>
      </c>
      <c r="E560" t="s">
        <v>59</v>
      </c>
      <c r="F560" t="s">
        <v>49</v>
      </c>
      <c r="G560" t="s">
        <v>40</v>
      </c>
      <c r="H560">
        <v>3</v>
      </c>
      <c r="I560" s="5">
        <v>214399</v>
      </c>
      <c r="J560" s="5">
        <v>38352</v>
      </c>
      <c r="K560" s="5">
        <v>176047</v>
      </c>
      <c r="L560" s="5">
        <v>116236</v>
      </c>
      <c r="M560" s="5">
        <v>12456</v>
      </c>
      <c r="N560" s="5">
        <v>0</v>
      </c>
      <c r="O560" s="5">
        <v>35663</v>
      </c>
      <c r="P560" s="5">
        <v>11692</v>
      </c>
      <c r="Q560">
        <v>8</v>
      </c>
      <c r="R560" t="s">
        <v>41</v>
      </c>
    </row>
    <row r="561" spans="1:18">
      <c r="A561" t="s">
        <v>620</v>
      </c>
      <c r="B561" s="4">
        <v>46259</v>
      </c>
      <c r="C561" t="s">
        <v>541</v>
      </c>
      <c r="D561" t="s">
        <v>37</v>
      </c>
      <c r="E561" t="s">
        <v>38</v>
      </c>
      <c r="F561" t="s">
        <v>39</v>
      </c>
      <c r="G561" t="s">
        <v>40</v>
      </c>
      <c r="H561">
        <v>3</v>
      </c>
      <c r="I561" s="5">
        <v>376229</v>
      </c>
      <c r="J561" s="5">
        <v>75125</v>
      </c>
      <c r="K561" s="5">
        <v>301104</v>
      </c>
      <c r="L561" s="5">
        <v>209698</v>
      </c>
      <c r="M561" s="5">
        <v>23233</v>
      </c>
      <c r="N561" s="5">
        <v>17238</v>
      </c>
      <c r="O561" s="5">
        <v>44962</v>
      </c>
      <c r="P561" s="5">
        <v>5973</v>
      </c>
      <c r="Q561">
        <v>8</v>
      </c>
      <c r="R561" t="s">
        <v>53</v>
      </c>
    </row>
    <row r="562" spans="1:18">
      <c r="A562" t="s">
        <v>621</v>
      </c>
      <c r="B562" s="4">
        <v>46259</v>
      </c>
      <c r="C562" t="s">
        <v>541</v>
      </c>
      <c r="D562" t="s">
        <v>37</v>
      </c>
      <c r="E562" t="s">
        <v>45</v>
      </c>
      <c r="F562" t="s">
        <v>39</v>
      </c>
      <c r="G562" t="s">
        <v>43</v>
      </c>
      <c r="H562">
        <v>5</v>
      </c>
      <c r="I562" s="5">
        <v>335815</v>
      </c>
      <c r="J562" s="5">
        <v>66360</v>
      </c>
      <c r="K562" s="5">
        <v>269455</v>
      </c>
      <c r="L562" s="5">
        <v>196720</v>
      </c>
      <c r="M562" s="5">
        <v>24223</v>
      </c>
      <c r="N562" s="5">
        <v>0</v>
      </c>
      <c r="O562" s="5">
        <v>38428</v>
      </c>
      <c r="P562" s="5">
        <v>10084</v>
      </c>
      <c r="Q562">
        <v>6</v>
      </c>
      <c r="R562" t="s">
        <v>41</v>
      </c>
    </row>
    <row r="563" spans="1:18">
      <c r="A563" t="s">
        <v>622</v>
      </c>
      <c r="B563" s="4">
        <v>46223</v>
      </c>
      <c r="C563" t="s">
        <v>541</v>
      </c>
      <c r="D563" t="s">
        <v>37</v>
      </c>
      <c r="E563" t="s">
        <v>55</v>
      </c>
      <c r="F563" t="s">
        <v>61</v>
      </c>
      <c r="G563" t="s">
        <v>40</v>
      </c>
      <c r="H563">
        <v>2</v>
      </c>
      <c r="I563" s="5">
        <v>379866</v>
      </c>
      <c r="J563" s="5">
        <v>57543</v>
      </c>
      <c r="K563" s="5">
        <v>322323</v>
      </c>
      <c r="L563" s="5">
        <v>222866</v>
      </c>
      <c r="M563" s="5">
        <v>31392</v>
      </c>
      <c r="N563" s="5">
        <v>0</v>
      </c>
      <c r="O563" s="5">
        <v>60348</v>
      </c>
      <c r="P563" s="5">
        <v>7717</v>
      </c>
      <c r="Q563">
        <v>9</v>
      </c>
      <c r="R563" t="s">
        <v>41</v>
      </c>
    </row>
    <row r="564" spans="1:18">
      <c r="A564" t="s">
        <v>623</v>
      </c>
      <c r="B564" s="4">
        <v>46218</v>
      </c>
      <c r="C564" t="s">
        <v>541</v>
      </c>
      <c r="D564" t="s">
        <v>37</v>
      </c>
      <c r="E564" t="s">
        <v>55</v>
      </c>
      <c r="F564" t="s">
        <v>61</v>
      </c>
      <c r="G564" t="s">
        <v>43</v>
      </c>
      <c r="H564">
        <v>3</v>
      </c>
      <c r="I564" s="5">
        <v>219535</v>
      </c>
      <c r="J564" s="5">
        <v>44119</v>
      </c>
      <c r="K564" s="5">
        <v>175416</v>
      </c>
      <c r="L564" s="5">
        <v>118072</v>
      </c>
      <c r="M564" s="5">
        <v>10877</v>
      </c>
      <c r="N564" s="5">
        <v>0</v>
      </c>
      <c r="O564" s="5">
        <v>34513</v>
      </c>
      <c r="P564" s="5">
        <v>11954</v>
      </c>
      <c r="Q564">
        <v>6</v>
      </c>
      <c r="R564" t="s">
        <v>41</v>
      </c>
    </row>
    <row r="565" spans="1:18">
      <c r="A565" t="s">
        <v>624</v>
      </c>
      <c r="B565" s="4">
        <v>46222</v>
      </c>
      <c r="C565" t="s">
        <v>541</v>
      </c>
      <c r="D565" t="s">
        <v>37</v>
      </c>
      <c r="E565" t="s">
        <v>59</v>
      </c>
      <c r="F565" t="s">
        <v>39</v>
      </c>
      <c r="G565" t="s">
        <v>40</v>
      </c>
      <c r="H565">
        <v>2</v>
      </c>
      <c r="I565" s="5">
        <v>351446</v>
      </c>
      <c r="J565" s="5">
        <v>79002</v>
      </c>
      <c r="K565" s="5">
        <v>272444</v>
      </c>
      <c r="L565" s="5">
        <v>191217</v>
      </c>
      <c r="M565" s="5">
        <v>17101</v>
      </c>
      <c r="N565" s="5">
        <v>0</v>
      </c>
      <c r="O565" s="5">
        <v>56820</v>
      </c>
      <c r="P565" s="5">
        <v>7306</v>
      </c>
      <c r="Q565">
        <v>6</v>
      </c>
      <c r="R565" t="s">
        <v>41</v>
      </c>
    </row>
    <row r="566" spans="1:18">
      <c r="A566" t="s">
        <v>625</v>
      </c>
      <c r="B566" s="4">
        <v>46288</v>
      </c>
      <c r="C566" t="s">
        <v>541</v>
      </c>
      <c r="D566" t="s">
        <v>37</v>
      </c>
      <c r="E566" t="s">
        <v>38</v>
      </c>
      <c r="F566" t="s">
        <v>49</v>
      </c>
      <c r="G566" t="s">
        <v>40</v>
      </c>
      <c r="H566">
        <v>5</v>
      </c>
      <c r="I566" s="5">
        <v>272790</v>
      </c>
      <c r="J566" s="5">
        <v>53177</v>
      </c>
      <c r="K566" s="5">
        <v>219613</v>
      </c>
      <c r="L566" s="5">
        <v>146120</v>
      </c>
      <c r="M566" s="5">
        <v>16889</v>
      </c>
      <c r="N566" s="5">
        <v>0</v>
      </c>
      <c r="O566" s="5">
        <v>47192</v>
      </c>
      <c r="P566" s="5">
        <v>9412</v>
      </c>
      <c r="Q566">
        <v>5</v>
      </c>
      <c r="R566" t="s">
        <v>41</v>
      </c>
    </row>
    <row r="567" spans="1:18">
      <c r="A567" t="s">
        <v>626</v>
      </c>
      <c r="B567" s="4">
        <v>46216</v>
      </c>
      <c r="C567" t="s">
        <v>541</v>
      </c>
      <c r="D567" t="s">
        <v>37</v>
      </c>
      <c r="E567" t="s">
        <v>45</v>
      </c>
      <c r="F567" t="s">
        <v>61</v>
      </c>
      <c r="G567" t="s">
        <v>43</v>
      </c>
      <c r="H567">
        <v>6</v>
      </c>
      <c r="I567" s="5">
        <v>189270</v>
      </c>
      <c r="J567" s="5">
        <v>34510</v>
      </c>
      <c r="K567" s="5">
        <v>154760</v>
      </c>
      <c r="L567" s="5">
        <v>110184</v>
      </c>
      <c r="M567" s="5">
        <v>10088</v>
      </c>
      <c r="N567" s="5">
        <v>0</v>
      </c>
      <c r="O567" s="5">
        <v>24168</v>
      </c>
      <c r="P567" s="5">
        <v>10320</v>
      </c>
      <c r="Q567">
        <v>5</v>
      </c>
      <c r="R567" t="s">
        <v>41</v>
      </c>
    </row>
    <row r="568" spans="1:18">
      <c r="A568" t="s">
        <v>627</v>
      </c>
      <c r="B568" s="4">
        <v>46207</v>
      </c>
      <c r="C568" t="s">
        <v>541</v>
      </c>
      <c r="D568" t="s">
        <v>37</v>
      </c>
      <c r="E568" t="s">
        <v>59</v>
      </c>
      <c r="F568" t="s">
        <v>46</v>
      </c>
      <c r="G568" t="s">
        <v>43</v>
      </c>
      <c r="H568">
        <v>4</v>
      </c>
      <c r="I568" s="5">
        <v>205725</v>
      </c>
      <c r="J568" s="5">
        <v>40678</v>
      </c>
      <c r="K568" s="5">
        <v>165047</v>
      </c>
      <c r="L568" s="5">
        <v>112443</v>
      </c>
      <c r="M568" s="5">
        <v>15310</v>
      </c>
      <c r="N568" s="5">
        <v>6766</v>
      </c>
      <c r="O568" s="5">
        <v>23049</v>
      </c>
      <c r="P568" s="5">
        <v>7479</v>
      </c>
      <c r="Q568">
        <v>6</v>
      </c>
      <c r="R568" t="s">
        <v>53</v>
      </c>
    </row>
    <row r="569" spans="1:18">
      <c r="A569" t="s">
        <v>628</v>
      </c>
      <c r="B569" s="4">
        <v>46261</v>
      </c>
      <c r="C569" t="s">
        <v>541</v>
      </c>
      <c r="D569" t="s">
        <v>37</v>
      </c>
      <c r="E569" t="s">
        <v>45</v>
      </c>
      <c r="F569" t="s">
        <v>49</v>
      </c>
      <c r="G569" t="s">
        <v>40</v>
      </c>
      <c r="H569">
        <v>2</v>
      </c>
      <c r="I569" s="5">
        <v>423250</v>
      </c>
      <c r="J569" s="5">
        <v>68064</v>
      </c>
      <c r="K569" s="5">
        <v>355186</v>
      </c>
      <c r="L569" s="5">
        <v>255722</v>
      </c>
      <c r="M569" s="5">
        <v>25314</v>
      </c>
      <c r="N569" s="5">
        <v>18989</v>
      </c>
      <c r="O569" s="5">
        <v>45910</v>
      </c>
      <c r="P569" s="5">
        <v>9251</v>
      </c>
      <c r="Q569">
        <v>5</v>
      </c>
      <c r="R569" t="s">
        <v>53</v>
      </c>
    </row>
    <row r="570" spans="1:18">
      <c r="A570" t="s">
        <v>629</v>
      </c>
      <c r="B570" s="4">
        <v>46274</v>
      </c>
      <c r="C570" t="s">
        <v>541</v>
      </c>
      <c r="D570" t="s">
        <v>37</v>
      </c>
      <c r="E570" t="s">
        <v>55</v>
      </c>
      <c r="F570" t="s">
        <v>61</v>
      </c>
      <c r="G570" t="s">
        <v>43</v>
      </c>
      <c r="H570">
        <v>3</v>
      </c>
      <c r="I570" s="5">
        <v>474479</v>
      </c>
      <c r="J570" s="5">
        <v>104914</v>
      </c>
      <c r="K570" s="5">
        <v>369565</v>
      </c>
      <c r="L570" s="5">
        <v>254865</v>
      </c>
      <c r="M570" s="5">
        <v>33210</v>
      </c>
      <c r="N570" s="5">
        <v>0</v>
      </c>
      <c r="O570" s="5">
        <v>73197</v>
      </c>
      <c r="P570" s="5">
        <v>8293</v>
      </c>
      <c r="Q570">
        <v>3</v>
      </c>
      <c r="R570" t="s">
        <v>41</v>
      </c>
    </row>
    <row r="571" spans="1:18">
      <c r="A571" t="s">
        <v>630</v>
      </c>
      <c r="B571" s="4">
        <v>46224</v>
      </c>
      <c r="C571" t="s">
        <v>541</v>
      </c>
      <c r="D571" t="s">
        <v>37</v>
      </c>
      <c r="E571" t="s">
        <v>55</v>
      </c>
      <c r="F571" t="s">
        <v>46</v>
      </c>
      <c r="G571" t="s">
        <v>43</v>
      </c>
      <c r="H571">
        <v>6</v>
      </c>
      <c r="I571" s="5">
        <v>192345</v>
      </c>
      <c r="J571" s="5">
        <v>42242</v>
      </c>
      <c r="K571" s="5">
        <v>150103</v>
      </c>
      <c r="L571" s="5">
        <v>106936</v>
      </c>
      <c r="M571" s="5">
        <v>8969</v>
      </c>
      <c r="N571" s="5">
        <v>0</v>
      </c>
      <c r="O571" s="5">
        <v>25191</v>
      </c>
      <c r="P571" s="5">
        <v>9007</v>
      </c>
      <c r="Q571">
        <v>10</v>
      </c>
      <c r="R571" t="s">
        <v>41</v>
      </c>
    </row>
    <row r="572" spans="1:18">
      <c r="A572" t="s">
        <v>631</v>
      </c>
      <c r="B572" s="4">
        <v>46243</v>
      </c>
      <c r="C572" t="s">
        <v>541</v>
      </c>
      <c r="D572" t="s">
        <v>37</v>
      </c>
      <c r="E572" t="s">
        <v>38</v>
      </c>
      <c r="F572" t="s">
        <v>39</v>
      </c>
      <c r="G572" t="s">
        <v>40</v>
      </c>
      <c r="H572">
        <v>3</v>
      </c>
      <c r="I572" s="5">
        <v>352404</v>
      </c>
      <c r="J572" s="5">
        <v>63722</v>
      </c>
      <c r="K572" s="5">
        <v>288682</v>
      </c>
      <c r="L572" s="5">
        <v>195476</v>
      </c>
      <c r="M572" s="5">
        <v>22532</v>
      </c>
      <c r="N572" s="5">
        <v>0</v>
      </c>
      <c r="O572" s="5">
        <v>64941</v>
      </c>
      <c r="P572" s="5">
        <v>5733</v>
      </c>
      <c r="Q572">
        <v>3</v>
      </c>
      <c r="R572" t="s">
        <v>41</v>
      </c>
    </row>
    <row r="573" spans="1:18">
      <c r="A573" t="s">
        <v>632</v>
      </c>
      <c r="B573" s="4">
        <v>46258</v>
      </c>
      <c r="C573" t="s">
        <v>541</v>
      </c>
      <c r="D573" t="s">
        <v>37</v>
      </c>
      <c r="E573" t="s">
        <v>59</v>
      </c>
      <c r="F573" t="s">
        <v>46</v>
      </c>
      <c r="G573" t="s">
        <v>43</v>
      </c>
      <c r="H573">
        <v>5</v>
      </c>
      <c r="I573" s="5">
        <v>387671</v>
      </c>
      <c r="J573" s="5">
        <v>54093</v>
      </c>
      <c r="K573" s="5">
        <v>333578</v>
      </c>
      <c r="L573" s="5">
        <v>244667</v>
      </c>
      <c r="M573" s="5">
        <v>25461</v>
      </c>
      <c r="N573" s="5">
        <v>0</v>
      </c>
      <c r="O573" s="5">
        <v>51935</v>
      </c>
      <c r="P573" s="5">
        <v>11515</v>
      </c>
      <c r="Q573">
        <v>6</v>
      </c>
      <c r="R573" t="s">
        <v>41</v>
      </c>
    </row>
    <row r="574" spans="1:18">
      <c r="A574" t="s">
        <v>633</v>
      </c>
      <c r="B574" s="4">
        <v>46290</v>
      </c>
      <c r="C574" t="s">
        <v>541</v>
      </c>
      <c r="D574" t="s">
        <v>37</v>
      </c>
      <c r="E574" t="s">
        <v>38</v>
      </c>
      <c r="F574" t="s">
        <v>51</v>
      </c>
      <c r="G574" t="s">
        <v>43</v>
      </c>
      <c r="H574">
        <v>5</v>
      </c>
      <c r="I574" s="5">
        <v>180981</v>
      </c>
      <c r="J574" s="5">
        <v>36057</v>
      </c>
      <c r="K574" s="5">
        <v>144924</v>
      </c>
      <c r="L574" s="5">
        <v>93970</v>
      </c>
      <c r="M574" s="5">
        <v>10993</v>
      </c>
      <c r="N574" s="5">
        <v>0</v>
      </c>
      <c r="O574" s="5">
        <v>31550</v>
      </c>
      <c r="P574" s="5">
        <v>8411</v>
      </c>
      <c r="Q574">
        <v>8</v>
      </c>
      <c r="R574" t="s">
        <v>41</v>
      </c>
    </row>
    <row r="575" spans="1:18">
      <c r="A575" t="s">
        <v>634</v>
      </c>
      <c r="B575" s="4">
        <v>46265</v>
      </c>
      <c r="C575" t="s">
        <v>541</v>
      </c>
      <c r="D575" t="s">
        <v>37</v>
      </c>
      <c r="E575" t="s">
        <v>45</v>
      </c>
      <c r="F575" t="s">
        <v>51</v>
      </c>
      <c r="G575" t="s">
        <v>40</v>
      </c>
      <c r="H575">
        <v>6</v>
      </c>
      <c r="I575" s="5">
        <v>183233</v>
      </c>
      <c r="J575" s="5">
        <v>27612</v>
      </c>
      <c r="K575" s="5">
        <v>155621</v>
      </c>
      <c r="L575" s="5">
        <v>105243</v>
      </c>
      <c r="M575" s="5">
        <v>11549</v>
      </c>
      <c r="N575" s="5">
        <v>0</v>
      </c>
      <c r="O575" s="5">
        <v>32244</v>
      </c>
      <c r="P575" s="5">
        <v>6585</v>
      </c>
      <c r="Q575">
        <v>4</v>
      </c>
      <c r="R575" t="s">
        <v>41</v>
      </c>
    </row>
    <row r="576" spans="1:18">
      <c r="A576" t="s">
        <v>635</v>
      </c>
      <c r="B576" s="4">
        <v>46209</v>
      </c>
      <c r="C576" t="s">
        <v>541</v>
      </c>
      <c r="D576" t="s">
        <v>37</v>
      </c>
      <c r="E576" t="s">
        <v>59</v>
      </c>
      <c r="F576" t="s">
        <v>49</v>
      </c>
      <c r="G576" t="s">
        <v>43</v>
      </c>
      <c r="H576">
        <v>4</v>
      </c>
      <c r="I576" s="5">
        <v>336837</v>
      </c>
      <c r="J576" s="5">
        <v>79178</v>
      </c>
      <c r="K576" s="5">
        <v>257659</v>
      </c>
      <c r="L576" s="5">
        <v>179773</v>
      </c>
      <c r="M576" s="5">
        <v>17757</v>
      </c>
      <c r="N576" s="5">
        <v>8174</v>
      </c>
      <c r="O576" s="5">
        <v>41551</v>
      </c>
      <c r="P576" s="5">
        <v>10404</v>
      </c>
      <c r="Q576">
        <v>4</v>
      </c>
      <c r="R576" t="s">
        <v>53</v>
      </c>
    </row>
    <row r="577" spans="1:18">
      <c r="A577" t="s">
        <v>636</v>
      </c>
      <c r="B577" s="4">
        <v>46214</v>
      </c>
      <c r="C577" t="s">
        <v>541</v>
      </c>
      <c r="D577" t="s">
        <v>37</v>
      </c>
      <c r="E577" t="s">
        <v>59</v>
      </c>
      <c r="F577" t="s">
        <v>61</v>
      </c>
      <c r="G577" t="s">
        <v>43</v>
      </c>
      <c r="H577">
        <v>2</v>
      </c>
      <c r="I577" s="5">
        <v>242548</v>
      </c>
      <c r="J577" s="5">
        <v>54007</v>
      </c>
      <c r="K577" s="5">
        <v>188541</v>
      </c>
      <c r="L577" s="5">
        <v>130620</v>
      </c>
      <c r="M577" s="5">
        <v>12529</v>
      </c>
      <c r="N577" s="5">
        <v>0</v>
      </c>
      <c r="O577" s="5">
        <v>35498</v>
      </c>
      <c r="P577" s="5">
        <v>9894</v>
      </c>
      <c r="Q577">
        <v>7</v>
      </c>
      <c r="R577" t="s">
        <v>41</v>
      </c>
    </row>
    <row r="578" spans="1:18">
      <c r="A578" t="s">
        <v>637</v>
      </c>
      <c r="B578" s="4">
        <v>46244</v>
      </c>
      <c r="C578" t="s">
        <v>541</v>
      </c>
      <c r="D578" t="s">
        <v>37</v>
      </c>
      <c r="E578" t="s">
        <v>55</v>
      </c>
      <c r="F578" t="s">
        <v>46</v>
      </c>
      <c r="G578" t="s">
        <v>43</v>
      </c>
      <c r="H578">
        <v>3</v>
      </c>
      <c r="I578" s="5">
        <v>298337</v>
      </c>
      <c r="J578" s="5">
        <v>58228</v>
      </c>
      <c r="K578" s="5">
        <v>240109</v>
      </c>
      <c r="L578" s="5">
        <v>154962</v>
      </c>
      <c r="M578" s="5">
        <v>17363</v>
      </c>
      <c r="N578" s="5">
        <v>0</v>
      </c>
      <c r="O578" s="5">
        <v>54204</v>
      </c>
      <c r="P578" s="5">
        <v>13580</v>
      </c>
      <c r="Q578">
        <v>3</v>
      </c>
      <c r="R578" t="s">
        <v>41</v>
      </c>
    </row>
    <row r="579" spans="1:18">
      <c r="A579" t="s">
        <v>638</v>
      </c>
      <c r="B579" s="4">
        <v>46281</v>
      </c>
      <c r="C579" t="s">
        <v>541</v>
      </c>
      <c r="D579" t="s">
        <v>37</v>
      </c>
      <c r="E579" t="s">
        <v>45</v>
      </c>
      <c r="F579" t="s">
        <v>61</v>
      </c>
      <c r="G579" t="s">
        <v>43</v>
      </c>
      <c r="H579">
        <v>5</v>
      </c>
      <c r="I579" s="5">
        <v>343568</v>
      </c>
      <c r="J579" s="5">
        <v>85664</v>
      </c>
      <c r="K579" s="5">
        <v>257904</v>
      </c>
      <c r="L579" s="5">
        <v>174314</v>
      </c>
      <c r="M579" s="5">
        <v>16860</v>
      </c>
      <c r="N579" s="5">
        <v>0</v>
      </c>
      <c r="O579" s="5">
        <v>58974</v>
      </c>
      <c r="P579" s="5">
        <v>7756</v>
      </c>
      <c r="Q579">
        <v>5</v>
      </c>
      <c r="R579" t="s">
        <v>41</v>
      </c>
    </row>
    <row r="580" spans="1:18">
      <c r="A580" t="s">
        <v>639</v>
      </c>
      <c r="B580" s="4">
        <v>46255</v>
      </c>
      <c r="C580" t="s">
        <v>541</v>
      </c>
      <c r="D580" t="s">
        <v>37</v>
      </c>
      <c r="E580" t="s">
        <v>55</v>
      </c>
      <c r="F580" t="s">
        <v>39</v>
      </c>
      <c r="G580" t="s">
        <v>43</v>
      </c>
      <c r="H580">
        <v>6</v>
      </c>
      <c r="I580" s="5">
        <v>185630</v>
      </c>
      <c r="J580" s="5">
        <v>39885</v>
      </c>
      <c r="K580" s="5">
        <v>145745</v>
      </c>
      <c r="L580" s="5">
        <v>93444</v>
      </c>
      <c r="M580" s="5">
        <v>11829</v>
      </c>
      <c r="N580" s="5">
        <v>0</v>
      </c>
      <c r="O580" s="5">
        <v>31904</v>
      </c>
      <c r="P580" s="5">
        <v>8568</v>
      </c>
      <c r="Q580">
        <v>6</v>
      </c>
      <c r="R580" t="s">
        <v>41</v>
      </c>
    </row>
    <row r="581" spans="1:18">
      <c r="A581" t="s">
        <v>640</v>
      </c>
      <c r="B581" s="4">
        <v>46218</v>
      </c>
      <c r="C581" t="s">
        <v>541</v>
      </c>
      <c r="D581" t="s">
        <v>37</v>
      </c>
      <c r="E581" t="s">
        <v>59</v>
      </c>
      <c r="F581" t="s">
        <v>51</v>
      </c>
      <c r="G581" t="s">
        <v>40</v>
      </c>
      <c r="H581">
        <v>2</v>
      </c>
      <c r="I581" s="5">
        <v>413664</v>
      </c>
      <c r="J581" s="5">
        <v>64247</v>
      </c>
      <c r="K581" s="5">
        <v>349417</v>
      </c>
      <c r="L581" s="5">
        <v>244961</v>
      </c>
      <c r="M581" s="5">
        <v>24684</v>
      </c>
      <c r="N581" s="5">
        <v>10460</v>
      </c>
      <c r="O581" s="5">
        <v>62235</v>
      </c>
      <c r="P581" s="5">
        <v>7077</v>
      </c>
      <c r="Q581">
        <v>3</v>
      </c>
      <c r="R581" t="s">
        <v>53</v>
      </c>
    </row>
    <row r="582" spans="1:18">
      <c r="A582" t="s">
        <v>641</v>
      </c>
      <c r="B582" s="4">
        <v>46272</v>
      </c>
      <c r="C582" t="s">
        <v>541</v>
      </c>
      <c r="D582" t="s">
        <v>37</v>
      </c>
      <c r="E582" t="s">
        <v>38</v>
      </c>
      <c r="F582" t="s">
        <v>61</v>
      </c>
      <c r="G582" t="s">
        <v>43</v>
      </c>
      <c r="H582">
        <v>4</v>
      </c>
      <c r="I582" s="5">
        <v>438085</v>
      </c>
      <c r="J582" s="5">
        <v>70328</v>
      </c>
      <c r="K582" s="5">
        <v>367757</v>
      </c>
      <c r="L582" s="5">
        <v>248288</v>
      </c>
      <c r="M582" s="5">
        <v>33146</v>
      </c>
      <c r="N582" s="5">
        <v>0</v>
      </c>
      <c r="O582" s="5">
        <v>72374</v>
      </c>
      <c r="P582" s="5">
        <v>13949</v>
      </c>
      <c r="Q582">
        <v>6</v>
      </c>
      <c r="R582" t="s">
        <v>41</v>
      </c>
    </row>
    <row r="583" spans="1:18">
      <c r="A583" t="s">
        <v>642</v>
      </c>
      <c r="B583" s="4">
        <v>46260</v>
      </c>
      <c r="C583" t="s">
        <v>541</v>
      </c>
      <c r="D583" t="s">
        <v>37</v>
      </c>
      <c r="E583" t="s">
        <v>55</v>
      </c>
      <c r="F583" t="s">
        <v>46</v>
      </c>
      <c r="G583" t="s">
        <v>40</v>
      </c>
      <c r="H583">
        <v>4</v>
      </c>
      <c r="I583" s="5">
        <v>354610</v>
      </c>
      <c r="J583" s="5">
        <v>71588</v>
      </c>
      <c r="K583" s="5">
        <v>283022</v>
      </c>
      <c r="L583" s="5">
        <v>184613</v>
      </c>
      <c r="M583" s="5">
        <v>25693</v>
      </c>
      <c r="N583" s="5">
        <v>0</v>
      </c>
      <c r="O583" s="5">
        <v>57063</v>
      </c>
      <c r="P583" s="5">
        <v>15653</v>
      </c>
      <c r="Q583">
        <v>7</v>
      </c>
      <c r="R583" t="s">
        <v>41</v>
      </c>
    </row>
    <row r="584" spans="1:18">
      <c r="A584" t="s">
        <v>643</v>
      </c>
      <c r="B584" s="4">
        <v>46284</v>
      </c>
      <c r="C584" t="s">
        <v>541</v>
      </c>
      <c r="D584" t="s">
        <v>37</v>
      </c>
      <c r="E584" t="s">
        <v>55</v>
      </c>
      <c r="F584" t="s">
        <v>46</v>
      </c>
      <c r="G584" t="s">
        <v>43</v>
      </c>
      <c r="H584">
        <v>6</v>
      </c>
      <c r="I584" s="5">
        <v>311294</v>
      </c>
      <c r="J584" s="5">
        <v>49750</v>
      </c>
      <c r="K584" s="5">
        <v>261544</v>
      </c>
      <c r="L584" s="5">
        <v>180178</v>
      </c>
      <c r="M584" s="5">
        <v>23002</v>
      </c>
      <c r="N584" s="5">
        <v>7469</v>
      </c>
      <c r="O584" s="5">
        <v>35750</v>
      </c>
      <c r="P584" s="5">
        <v>15145</v>
      </c>
      <c r="Q584">
        <v>5</v>
      </c>
      <c r="R584" t="s">
        <v>53</v>
      </c>
    </row>
    <row r="585" spans="1:18">
      <c r="A585" t="s">
        <v>644</v>
      </c>
      <c r="B585" s="4">
        <v>46269</v>
      </c>
      <c r="C585" t="s">
        <v>541</v>
      </c>
      <c r="D585" t="s">
        <v>37</v>
      </c>
      <c r="E585" t="s">
        <v>55</v>
      </c>
      <c r="F585" t="s">
        <v>51</v>
      </c>
      <c r="G585" t="s">
        <v>40</v>
      </c>
      <c r="H585">
        <v>5</v>
      </c>
      <c r="I585" s="5">
        <v>408364</v>
      </c>
      <c r="J585" s="5">
        <v>53113</v>
      </c>
      <c r="K585" s="5">
        <v>355251</v>
      </c>
      <c r="L585" s="5">
        <v>264568</v>
      </c>
      <c r="M585" s="5">
        <v>21126</v>
      </c>
      <c r="N585" s="5">
        <v>0</v>
      </c>
      <c r="O585" s="5">
        <v>57940</v>
      </c>
      <c r="P585" s="5">
        <v>11617</v>
      </c>
      <c r="Q585">
        <v>4</v>
      </c>
      <c r="R585" t="s">
        <v>41</v>
      </c>
    </row>
    <row r="586" spans="1:18">
      <c r="A586" t="s">
        <v>645</v>
      </c>
      <c r="B586" s="4">
        <v>46264</v>
      </c>
      <c r="C586" t="s">
        <v>541</v>
      </c>
      <c r="D586" t="s">
        <v>37</v>
      </c>
      <c r="E586" t="s">
        <v>59</v>
      </c>
      <c r="F586" t="s">
        <v>46</v>
      </c>
      <c r="G586" t="s">
        <v>43</v>
      </c>
      <c r="H586">
        <v>4</v>
      </c>
      <c r="I586" s="5">
        <v>490286</v>
      </c>
      <c r="J586" s="5">
        <v>110583</v>
      </c>
      <c r="K586" s="5">
        <v>379703</v>
      </c>
      <c r="L586" s="5">
        <v>268826</v>
      </c>
      <c r="M586" s="5">
        <v>26048</v>
      </c>
      <c r="N586" s="5">
        <v>0</v>
      </c>
      <c r="O586" s="5">
        <v>73486</v>
      </c>
      <c r="P586" s="5">
        <v>11343</v>
      </c>
      <c r="Q586">
        <v>6</v>
      </c>
      <c r="R586" t="s">
        <v>41</v>
      </c>
    </row>
    <row r="587" spans="1:18">
      <c r="A587" t="s">
        <v>646</v>
      </c>
      <c r="B587" s="4">
        <v>46233</v>
      </c>
      <c r="C587" t="s">
        <v>541</v>
      </c>
      <c r="D587" t="s">
        <v>37</v>
      </c>
      <c r="E587" t="s">
        <v>38</v>
      </c>
      <c r="F587" t="s">
        <v>49</v>
      </c>
      <c r="G587" t="s">
        <v>43</v>
      </c>
      <c r="H587">
        <v>5</v>
      </c>
      <c r="I587" s="5">
        <v>200598</v>
      </c>
      <c r="J587" s="5">
        <v>35641</v>
      </c>
      <c r="K587" s="5">
        <v>164957</v>
      </c>
      <c r="L587" s="5">
        <v>110896</v>
      </c>
      <c r="M587" s="5">
        <v>10633</v>
      </c>
      <c r="N587" s="5">
        <v>0</v>
      </c>
      <c r="O587" s="5">
        <v>35566</v>
      </c>
      <c r="P587" s="5">
        <v>7862</v>
      </c>
      <c r="Q587">
        <v>5</v>
      </c>
      <c r="R587" t="s">
        <v>41</v>
      </c>
    </row>
    <row r="588" spans="1:18">
      <c r="A588" t="s">
        <v>647</v>
      </c>
      <c r="B588" s="4">
        <v>46253</v>
      </c>
      <c r="C588" t="s">
        <v>541</v>
      </c>
      <c r="D588" t="s">
        <v>37</v>
      </c>
      <c r="E588" t="s">
        <v>55</v>
      </c>
      <c r="F588" t="s">
        <v>39</v>
      </c>
      <c r="G588" t="s">
        <v>43</v>
      </c>
      <c r="H588">
        <v>2</v>
      </c>
      <c r="I588" s="5">
        <v>267057</v>
      </c>
      <c r="J588" s="5">
        <v>57036</v>
      </c>
      <c r="K588" s="5">
        <v>210021</v>
      </c>
      <c r="L588" s="5">
        <v>144575</v>
      </c>
      <c r="M588" s="5">
        <v>19084</v>
      </c>
      <c r="N588" s="5">
        <v>0</v>
      </c>
      <c r="O588" s="5">
        <v>36539</v>
      </c>
      <c r="P588" s="5">
        <v>9823</v>
      </c>
      <c r="Q588">
        <v>4</v>
      </c>
      <c r="R588" t="s">
        <v>41</v>
      </c>
    </row>
    <row r="589" spans="1:18">
      <c r="A589" t="s">
        <v>648</v>
      </c>
      <c r="B589" s="4">
        <v>46281</v>
      </c>
      <c r="C589" t="s">
        <v>541</v>
      </c>
      <c r="D589" t="s">
        <v>37</v>
      </c>
      <c r="E589" t="s">
        <v>55</v>
      </c>
      <c r="F589" t="s">
        <v>61</v>
      </c>
      <c r="G589" t="s">
        <v>43</v>
      </c>
      <c r="H589">
        <v>4</v>
      </c>
      <c r="I589" s="5">
        <v>304446</v>
      </c>
      <c r="J589" s="5">
        <v>48541</v>
      </c>
      <c r="K589" s="5">
        <v>255905</v>
      </c>
      <c r="L589" s="5">
        <v>183043</v>
      </c>
      <c r="M589" s="5">
        <v>21228</v>
      </c>
      <c r="N589" s="5">
        <v>9300</v>
      </c>
      <c r="O589" s="5">
        <v>31325</v>
      </c>
      <c r="P589" s="5">
        <v>11009</v>
      </c>
      <c r="Q589">
        <v>5</v>
      </c>
      <c r="R589" t="s">
        <v>53</v>
      </c>
    </row>
    <row r="590" spans="1:18">
      <c r="A590" t="s">
        <v>649</v>
      </c>
      <c r="B590" s="4">
        <v>46249</v>
      </c>
      <c r="C590" t="s">
        <v>541</v>
      </c>
      <c r="D590" t="s">
        <v>37</v>
      </c>
      <c r="E590" t="s">
        <v>38</v>
      </c>
      <c r="F590" t="s">
        <v>51</v>
      </c>
      <c r="G590" t="s">
        <v>40</v>
      </c>
      <c r="H590">
        <v>1</v>
      </c>
      <c r="I590" s="5">
        <v>415622</v>
      </c>
      <c r="J590" s="5">
        <v>71513</v>
      </c>
      <c r="K590" s="5">
        <v>344109</v>
      </c>
      <c r="L590" s="5">
        <v>225408</v>
      </c>
      <c r="M590" s="5">
        <v>20004</v>
      </c>
      <c r="N590" s="5">
        <v>0</v>
      </c>
      <c r="O590" s="5">
        <v>84019</v>
      </c>
      <c r="P590" s="5">
        <v>14678</v>
      </c>
      <c r="Q590">
        <v>7</v>
      </c>
      <c r="R590" t="s">
        <v>41</v>
      </c>
    </row>
    <row r="591" spans="1:18">
      <c r="A591" t="s">
        <v>650</v>
      </c>
      <c r="B591" s="4">
        <v>46247</v>
      </c>
      <c r="C591" t="s">
        <v>541</v>
      </c>
      <c r="D591" t="s">
        <v>37</v>
      </c>
      <c r="E591" t="s">
        <v>45</v>
      </c>
      <c r="F591" t="s">
        <v>61</v>
      </c>
      <c r="G591" t="s">
        <v>43</v>
      </c>
      <c r="H591">
        <v>2</v>
      </c>
      <c r="I591" s="5">
        <v>446691</v>
      </c>
      <c r="J591" s="5">
        <v>76376</v>
      </c>
      <c r="K591" s="5">
        <v>370315</v>
      </c>
      <c r="L591" s="5">
        <v>253962</v>
      </c>
      <c r="M591" s="5">
        <v>29906</v>
      </c>
      <c r="N591" s="5">
        <v>0</v>
      </c>
      <c r="O591" s="5">
        <v>78727</v>
      </c>
      <c r="P591" s="5">
        <v>7720</v>
      </c>
      <c r="Q591">
        <v>7</v>
      </c>
      <c r="R591" t="s">
        <v>41</v>
      </c>
    </row>
    <row r="592" spans="1:18">
      <c r="A592" t="s">
        <v>651</v>
      </c>
      <c r="B592" s="4">
        <v>46262</v>
      </c>
      <c r="C592" t="s">
        <v>541</v>
      </c>
      <c r="D592" t="s">
        <v>37</v>
      </c>
      <c r="E592" t="s">
        <v>59</v>
      </c>
      <c r="F592" t="s">
        <v>61</v>
      </c>
      <c r="G592" t="s">
        <v>40</v>
      </c>
      <c r="H592">
        <v>5</v>
      </c>
      <c r="I592" s="5">
        <v>231351</v>
      </c>
      <c r="J592" s="5">
        <v>51608</v>
      </c>
      <c r="K592" s="5">
        <v>179743</v>
      </c>
      <c r="L592" s="5">
        <v>124297</v>
      </c>
      <c r="M592" s="5">
        <v>10860</v>
      </c>
      <c r="N592" s="5">
        <v>11484</v>
      </c>
      <c r="O592" s="5">
        <v>22613</v>
      </c>
      <c r="P592" s="5">
        <v>10489</v>
      </c>
      <c r="Q592">
        <v>3</v>
      </c>
      <c r="R592" t="s">
        <v>53</v>
      </c>
    </row>
    <row r="593" spans="1:18">
      <c r="A593" t="s">
        <v>652</v>
      </c>
      <c r="B593" s="4">
        <v>46224</v>
      </c>
      <c r="C593" t="s">
        <v>541</v>
      </c>
      <c r="D593" t="s">
        <v>37</v>
      </c>
      <c r="E593" t="s">
        <v>45</v>
      </c>
      <c r="F593" t="s">
        <v>46</v>
      </c>
      <c r="G593" t="s">
        <v>43</v>
      </c>
      <c r="H593">
        <v>6</v>
      </c>
      <c r="I593" s="5">
        <v>372566</v>
      </c>
      <c r="J593" s="5">
        <v>73004</v>
      </c>
      <c r="K593" s="5">
        <v>299562</v>
      </c>
      <c r="L593" s="5">
        <v>213042</v>
      </c>
      <c r="M593" s="5">
        <v>27425</v>
      </c>
      <c r="N593" s="5">
        <v>0</v>
      </c>
      <c r="O593" s="5">
        <v>48721</v>
      </c>
      <c r="P593" s="5">
        <v>10374</v>
      </c>
      <c r="Q593">
        <v>6</v>
      </c>
      <c r="R593" t="s">
        <v>41</v>
      </c>
    </row>
    <row r="594" spans="1:18">
      <c r="A594" t="s">
        <v>653</v>
      </c>
      <c r="B594" s="4">
        <v>46257</v>
      </c>
      <c r="C594" t="s">
        <v>541</v>
      </c>
      <c r="D594" t="s">
        <v>37</v>
      </c>
      <c r="E594" t="s">
        <v>59</v>
      </c>
      <c r="F594" t="s">
        <v>51</v>
      </c>
      <c r="G594" t="s">
        <v>43</v>
      </c>
      <c r="H594">
        <v>3</v>
      </c>
      <c r="I594" s="5">
        <v>535416</v>
      </c>
      <c r="J594" s="5">
        <v>103826</v>
      </c>
      <c r="K594" s="5">
        <v>431590</v>
      </c>
      <c r="L594" s="5">
        <v>303658</v>
      </c>
      <c r="M594" s="5">
        <v>39522</v>
      </c>
      <c r="N594" s="5">
        <v>16221</v>
      </c>
      <c r="O594" s="5">
        <v>66645</v>
      </c>
      <c r="P594" s="5">
        <v>5544</v>
      </c>
      <c r="Q594">
        <v>5</v>
      </c>
      <c r="R594" t="s">
        <v>53</v>
      </c>
    </row>
    <row r="595" spans="1:18">
      <c r="A595" t="s">
        <v>654</v>
      </c>
      <c r="B595" s="4">
        <v>46284</v>
      </c>
      <c r="C595" t="s">
        <v>541</v>
      </c>
      <c r="D595" t="s">
        <v>37</v>
      </c>
      <c r="E595" t="s">
        <v>38</v>
      </c>
      <c r="F595" t="s">
        <v>51</v>
      </c>
      <c r="G595" t="s">
        <v>43</v>
      </c>
      <c r="H595">
        <v>2</v>
      </c>
      <c r="I595" s="5">
        <v>292338</v>
      </c>
      <c r="J595" s="5">
        <v>51185</v>
      </c>
      <c r="K595" s="5">
        <v>241153</v>
      </c>
      <c r="L595" s="5">
        <v>162718</v>
      </c>
      <c r="M595" s="5">
        <v>20482</v>
      </c>
      <c r="N595" s="5">
        <v>0</v>
      </c>
      <c r="O595" s="5">
        <v>47953</v>
      </c>
      <c r="P595" s="5">
        <v>10000</v>
      </c>
      <c r="Q595">
        <v>7</v>
      </c>
      <c r="R595" t="s">
        <v>41</v>
      </c>
    </row>
    <row r="596" spans="1:18">
      <c r="A596" t="s">
        <v>655</v>
      </c>
      <c r="B596" s="4">
        <v>46270</v>
      </c>
      <c r="C596" t="s">
        <v>541</v>
      </c>
      <c r="D596" t="s">
        <v>37</v>
      </c>
      <c r="E596" t="s">
        <v>45</v>
      </c>
      <c r="F596" t="s">
        <v>61</v>
      </c>
      <c r="G596" t="s">
        <v>43</v>
      </c>
      <c r="H596">
        <v>2</v>
      </c>
      <c r="I596" s="5">
        <v>291818</v>
      </c>
      <c r="J596" s="5">
        <v>59522</v>
      </c>
      <c r="K596" s="5">
        <v>232296</v>
      </c>
      <c r="L596" s="5">
        <v>165874</v>
      </c>
      <c r="M596" s="5">
        <v>20863</v>
      </c>
      <c r="N596" s="5">
        <v>0</v>
      </c>
      <c r="O596" s="5">
        <v>30769</v>
      </c>
      <c r="P596" s="5">
        <v>14790</v>
      </c>
      <c r="Q596">
        <v>7</v>
      </c>
      <c r="R596" t="s">
        <v>41</v>
      </c>
    </row>
    <row r="597" spans="1:18">
      <c r="A597" t="s">
        <v>656</v>
      </c>
      <c r="B597" s="4">
        <v>46255</v>
      </c>
      <c r="C597" t="s">
        <v>541</v>
      </c>
      <c r="D597" t="s">
        <v>37</v>
      </c>
      <c r="E597" t="s">
        <v>38</v>
      </c>
      <c r="F597" t="s">
        <v>46</v>
      </c>
      <c r="G597" t="s">
        <v>40</v>
      </c>
      <c r="H597">
        <v>4</v>
      </c>
      <c r="I597" s="5">
        <v>197601</v>
      </c>
      <c r="J597" s="5">
        <v>36957</v>
      </c>
      <c r="K597" s="5">
        <v>160644</v>
      </c>
      <c r="L597" s="5">
        <v>110863</v>
      </c>
      <c r="M597" s="5">
        <v>9579</v>
      </c>
      <c r="N597" s="5">
        <v>0</v>
      </c>
      <c r="O597" s="5">
        <v>32144</v>
      </c>
      <c r="P597" s="5">
        <v>8058</v>
      </c>
      <c r="Q597">
        <v>3</v>
      </c>
      <c r="R597" t="s">
        <v>41</v>
      </c>
    </row>
    <row r="598" spans="1:18">
      <c r="A598" t="s">
        <v>657</v>
      </c>
      <c r="B598" s="4">
        <v>46295</v>
      </c>
      <c r="C598" t="s">
        <v>541</v>
      </c>
      <c r="D598" t="s">
        <v>37</v>
      </c>
      <c r="E598" t="s">
        <v>45</v>
      </c>
      <c r="F598" t="s">
        <v>46</v>
      </c>
      <c r="G598" t="s">
        <v>43</v>
      </c>
      <c r="H598">
        <v>6</v>
      </c>
      <c r="I598" s="5">
        <v>530159</v>
      </c>
      <c r="J598" s="5">
        <v>97002</v>
      </c>
      <c r="K598" s="5">
        <v>433157</v>
      </c>
      <c r="L598" s="5">
        <v>312127</v>
      </c>
      <c r="M598" s="5">
        <v>40659</v>
      </c>
      <c r="N598" s="5">
        <v>23381</v>
      </c>
      <c r="O598" s="5">
        <v>46924</v>
      </c>
      <c r="P598" s="5">
        <v>10066</v>
      </c>
      <c r="Q598">
        <v>3</v>
      </c>
      <c r="R598" t="s">
        <v>53</v>
      </c>
    </row>
    <row r="599" spans="1:18">
      <c r="A599" t="s">
        <v>658</v>
      </c>
      <c r="B599" s="4">
        <v>46239</v>
      </c>
      <c r="C599" t="s">
        <v>541</v>
      </c>
      <c r="D599" t="s">
        <v>37</v>
      </c>
      <c r="E599" t="s">
        <v>38</v>
      </c>
      <c r="F599" t="s">
        <v>46</v>
      </c>
      <c r="G599" t="s">
        <v>43</v>
      </c>
      <c r="H599">
        <v>6</v>
      </c>
      <c r="I599" s="5">
        <v>394343</v>
      </c>
      <c r="J599" s="5">
        <v>62441</v>
      </c>
      <c r="K599" s="5">
        <v>331902</v>
      </c>
      <c r="L599" s="5">
        <v>241448</v>
      </c>
      <c r="M599" s="5">
        <v>23514</v>
      </c>
      <c r="N599" s="5">
        <v>0</v>
      </c>
      <c r="O599" s="5">
        <v>59156</v>
      </c>
      <c r="P599" s="5">
        <v>7784</v>
      </c>
      <c r="Q599">
        <v>3</v>
      </c>
      <c r="R599" t="s">
        <v>41</v>
      </c>
    </row>
    <row r="600" spans="1:18">
      <c r="A600" t="s">
        <v>659</v>
      </c>
      <c r="B600" s="4">
        <v>46287</v>
      </c>
      <c r="C600" t="s">
        <v>541</v>
      </c>
      <c r="D600" t="s">
        <v>37</v>
      </c>
      <c r="E600" t="s">
        <v>55</v>
      </c>
      <c r="F600" t="s">
        <v>51</v>
      </c>
      <c r="G600" t="s">
        <v>43</v>
      </c>
      <c r="H600">
        <v>1</v>
      </c>
      <c r="I600" s="5">
        <v>309966</v>
      </c>
      <c r="J600" s="5">
        <v>59578</v>
      </c>
      <c r="K600" s="5">
        <v>250388</v>
      </c>
      <c r="L600" s="5">
        <v>176478</v>
      </c>
      <c r="M600" s="5">
        <v>20229</v>
      </c>
      <c r="N600" s="5">
        <v>0</v>
      </c>
      <c r="O600" s="5">
        <v>38300</v>
      </c>
      <c r="P600" s="5">
        <v>15381</v>
      </c>
      <c r="Q600">
        <v>8</v>
      </c>
      <c r="R600" t="s">
        <v>41</v>
      </c>
    </row>
    <row r="601" spans="1:18">
      <c r="A601" t="s">
        <v>660</v>
      </c>
      <c r="B601" s="4">
        <v>46240</v>
      </c>
      <c r="C601" t="s">
        <v>541</v>
      </c>
      <c r="D601" t="s">
        <v>37</v>
      </c>
      <c r="E601" t="s">
        <v>38</v>
      </c>
      <c r="F601" t="s">
        <v>61</v>
      </c>
      <c r="G601" t="s">
        <v>43</v>
      </c>
      <c r="H601">
        <v>5</v>
      </c>
      <c r="I601" s="5">
        <v>496140</v>
      </c>
      <c r="J601" s="5">
        <v>104555</v>
      </c>
      <c r="K601" s="5">
        <v>391585</v>
      </c>
      <c r="L601" s="5">
        <v>280218</v>
      </c>
      <c r="M601" s="5">
        <v>33690</v>
      </c>
      <c r="N601" s="5">
        <v>26198</v>
      </c>
      <c r="O601" s="5">
        <v>35896</v>
      </c>
      <c r="P601" s="5">
        <v>15583</v>
      </c>
      <c r="Q601">
        <v>6</v>
      </c>
      <c r="R601" t="s">
        <v>53</v>
      </c>
    </row>
    <row r="602" spans="1:18">
      <c r="A602" t="s">
        <v>661</v>
      </c>
      <c r="B602" s="4">
        <v>46237</v>
      </c>
      <c r="C602" t="s">
        <v>541</v>
      </c>
      <c r="D602" t="s">
        <v>37</v>
      </c>
      <c r="E602" t="s">
        <v>38</v>
      </c>
      <c r="F602" t="s">
        <v>39</v>
      </c>
      <c r="G602" t="s">
        <v>43</v>
      </c>
      <c r="H602">
        <v>5</v>
      </c>
      <c r="I602" s="5">
        <v>287033</v>
      </c>
      <c r="J602" s="5">
        <v>43963</v>
      </c>
      <c r="K602" s="5">
        <v>243070</v>
      </c>
      <c r="L602" s="5">
        <v>155409</v>
      </c>
      <c r="M602" s="5">
        <v>21784</v>
      </c>
      <c r="N602" s="5">
        <v>0</v>
      </c>
      <c r="O602" s="5">
        <v>50644</v>
      </c>
      <c r="P602" s="5">
        <v>15233</v>
      </c>
      <c r="Q602">
        <v>8</v>
      </c>
      <c r="R602" t="s">
        <v>41</v>
      </c>
    </row>
    <row r="603" spans="1:18">
      <c r="A603" t="s">
        <v>662</v>
      </c>
      <c r="B603" s="4">
        <v>46210</v>
      </c>
      <c r="C603" t="s">
        <v>541</v>
      </c>
      <c r="D603" t="s">
        <v>37</v>
      </c>
      <c r="E603" t="s">
        <v>59</v>
      </c>
      <c r="F603" t="s">
        <v>46</v>
      </c>
      <c r="G603" t="s">
        <v>43</v>
      </c>
      <c r="H603">
        <v>5</v>
      </c>
      <c r="I603" s="5">
        <v>478776</v>
      </c>
      <c r="J603" s="5">
        <v>90709</v>
      </c>
      <c r="K603" s="5">
        <v>388067</v>
      </c>
      <c r="L603" s="5">
        <v>266161</v>
      </c>
      <c r="M603" s="5">
        <v>31734</v>
      </c>
      <c r="N603" s="5">
        <v>0</v>
      </c>
      <c r="O603" s="5">
        <v>75106</v>
      </c>
      <c r="P603" s="5">
        <v>15066</v>
      </c>
      <c r="Q603">
        <v>6</v>
      </c>
      <c r="R603" t="s">
        <v>41</v>
      </c>
    </row>
    <row r="604" spans="1:18">
      <c r="A604" t="s">
        <v>663</v>
      </c>
      <c r="B604" s="4">
        <v>46276</v>
      </c>
      <c r="C604" t="s">
        <v>541</v>
      </c>
      <c r="D604" t="s">
        <v>37</v>
      </c>
      <c r="E604" t="s">
        <v>38</v>
      </c>
      <c r="F604" t="s">
        <v>39</v>
      </c>
      <c r="G604" t="s">
        <v>43</v>
      </c>
      <c r="H604">
        <v>3</v>
      </c>
      <c r="I604" s="5">
        <v>443052</v>
      </c>
      <c r="J604" s="5">
        <v>78344</v>
      </c>
      <c r="K604" s="5">
        <v>364708</v>
      </c>
      <c r="L604" s="5">
        <v>272666</v>
      </c>
      <c r="M604" s="5">
        <v>32719</v>
      </c>
      <c r="N604" s="5">
        <v>0</v>
      </c>
      <c r="O604" s="5">
        <v>49434</v>
      </c>
      <c r="P604" s="5">
        <v>9889</v>
      </c>
      <c r="Q604">
        <v>4</v>
      </c>
      <c r="R604" t="s">
        <v>41</v>
      </c>
    </row>
    <row r="605" spans="1:18">
      <c r="A605" t="s">
        <v>664</v>
      </c>
      <c r="B605" s="4">
        <v>46235</v>
      </c>
      <c r="C605" t="s">
        <v>541</v>
      </c>
      <c r="D605" t="s">
        <v>37</v>
      </c>
      <c r="E605" t="s">
        <v>59</v>
      </c>
      <c r="F605" t="s">
        <v>39</v>
      </c>
      <c r="G605" t="s">
        <v>40</v>
      </c>
      <c r="H605">
        <v>3</v>
      </c>
      <c r="I605" s="5">
        <v>268257</v>
      </c>
      <c r="J605" s="5">
        <v>39685</v>
      </c>
      <c r="K605" s="5">
        <v>228572</v>
      </c>
      <c r="L605" s="5">
        <v>162921</v>
      </c>
      <c r="M605" s="5">
        <v>14609</v>
      </c>
      <c r="N605" s="5">
        <v>0</v>
      </c>
      <c r="O605" s="5">
        <v>45178</v>
      </c>
      <c r="P605" s="5">
        <v>5864</v>
      </c>
      <c r="Q605">
        <v>3</v>
      </c>
      <c r="R605" t="s">
        <v>41</v>
      </c>
    </row>
    <row r="606" spans="1:18">
      <c r="A606" t="s">
        <v>665</v>
      </c>
      <c r="B606" s="4">
        <v>46220</v>
      </c>
      <c r="C606" t="s">
        <v>541</v>
      </c>
      <c r="D606" t="s">
        <v>37</v>
      </c>
      <c r="E606" t="s">
        <v>55</v>
      </c>
      <c r="F606" t="s">
        <v>51</v>
      </c>
      <c r="G606" t="s">
        <v>43</v>
      </c>
      <c r="H606">
        <v>1</v>
      </c>
      <c r="I606" s="5">
        <v>242516</v>
      </c>
      <c r="J606" s="5">
        <v>39070</v>
      </c>
      <c r="K606" s="5">
        <v>203446</v>
      </c>
      <c r="L606" s="5">
        <v>134595</v>
      </c>
      <c r="M606" s="5">
        <v>14331</v>
      </c>
      <c r="N606" s="5">
        <v>8805</v>
      </c>
      <c r="O606" s="5">
        <v>29647</v>
      </c>
      <c r="P606" s="5">
        <v>16068</v>
      </c>
      <c r="Q606">
        <v>6</v>
      </c>
      <c r="R606" t="s">
        <v>53</v>
      </c>
    </row>
    <row r="607" spans="1:18">
      <c r="A607" t="s">
        <v>666</v>
      </c>
      <c r="B607" s="4">
        <v>46237</v>
      </c>
      <c r="C607" t="s">
        <v>541</v>
      </c>
      <c r="D607" t="s">
        <v>37</v>
      </c>
      <c r="E607" t="s">
        <v>55</v>
      </c>
      <c r="F607" t="s">
        <v>46</v>
      </c>
      <c r="G607" t="s">
        <v>43</v>
      </c>
      <c r="H607">
        <v>6</v>
      </c>
      <c r="I607" s="5">
        <v>359312</v>
      </c>
      <c r="J607" s="5">
        <v>54203</v>
      </c>
      <c r="K607" s="5">
        <v>305109</v>
      </c>
      <c r="L607" s="5">
        <v>213885</v>
      </c>
      <c r="M607" s="5">
        <v>23566</v>
      </c>
      <c r="N607" s="5">
        <v>0</v>
      </c>
      <c r="O607" s="5">
        <v>54367</v>
      </c>
      <c r="P607" s="5">
        <v>13291</v>
      </c>
      <c r="Q607">
        <v>7</v>
      </c>
      <c r="R607" t="s">
        <v>41</v>
      </c>
    </row>
    <row r="608" spans="1:18">
      <c r="A608" t="s">
        <v>667</v>
      </c>
      <c r="B608" s="4">
        <v>46295</v>
      </c>
      <c r="C608" t="s">
        <v>541</v>
      </c>
      <c r="D608" t="s">
        <v>37</v>
      </c>
      <c r="E608" t="s">
        <v>55</v>
      </c>
      <c r="F608" t="s">
        <v>51</v>
      </c>
      <c r="G608" t="s">
        <v>40</v>
      </c>
      <c r="H608">
        <v>6</v>
      </c>
      <c r="I608" s="5">
        <v>542187</v>
      </c>
      <c r="J608" s="5">
        <v>117567</v>
      </c>
      <c r="K608" s="5">
        <v>424620</v>
      </c>
      <c r="L608" s="5">
        <v>317630</v>
      </c>
      <c r="M608" s="5">
        <v>38463</v>
      </c>
      <c r="N608" s="5">
        <v>14518</v>
      </c>
      <c r="O608" s="5">
        <v>43189</v>
      </c>
      <c r="P608" s="5">
        <v>10820</v>
      </c>
      <c r="Q608">
        <v>5</v>
      </c>
      <c r="R608" t="s">
        <v>53</v>
      </c>
    </row>
    <row r="609" spans="1:18">
      <c r="A609" t="s">
        <v>668</v>
      </c>
      <c r="B609" s="4">
        <v>46219</v>
      </c>
      <c r="C609" t="s">
        <v>541</v>
      </c>
      <c r="D609" t="s">
        <v>37</v>
      </c>
      <c r="E609" t="s">
        <v>55</v>
      </c>
      <c r="F609" t="s">
        <v>61</v>
      </c>
      <c r="G609" t="s">
        <v>40</v>
      </c>
      <c r="H609">
        <v>3</v>
      </c>
      <c r="I609" s="5">
        <v>414236</v>
      </c>
      <c r="J609" s="5">
        <v>78381</v>
      </c>
      <c r="K609" s="5">
        <v>335855</v>
      </c>
      <c r="L609" s="5">
        <v>243493</v>
      </c>
      <c r="M609" s="5">
        <v>31859</v>
      </c>
      <c r="N609" s="5">
        <v>0</v>
      </c>
      <c r="O609" s="5">
        <v>50529</v>
      </c>
      <c r="P609" s="5">
        <v>9974</v>
      </c>
      <c r="Q609">
        <v>8</v>
      </c>
      <c r="R609" t="s">
        <v>41</v>
      </c>
    </row>
    <row r="610" spans="1:18">
      <c r="A610" t="s">
        <v>669</v>
      </c>
      <c r="B610" s="4">
        <v>46242</v>
      </c>
      <c r="C610" t="s">
        <v>541</v>
      </c>
      <c r="D610" t="s">
        <v>37</v>
      </c>
      <c r="E610" t="s">
        <v>45</v>
      </c>
      <c r="F610" t="s">
        <v>46</v>
      </c>
      <c r="G610" t="s">
        <v>40</v>
      </c>
      <c r="H610">
        <v>2</v>
      </c>
      <c r="I610" s="5">
        <v>278820</v>
      </c>
      <c r="J610" s="5">
        <v>47669</v>
      </c>
      <c r="K610" s="5">
        <v>231151</v>
      </c>
      <c r="L610" s="5">
        <v>153686</v>
      </c>
      <c r="M610" s="5">
        <v>16582</v>
      </c>
      <c r="N610" s="5">
        <v>0</v>
      </c>
      <c r="O610" s="5">
        <v>51247</v>
      </c>
      <c r="P610" s="5">
        <v>9636</v>
      </c>
      <c r="Q610">
        <v>6</v>
      </c>
      <c r="R610" t="s">
        <v>41</v>
      </c>
    </row>
    <row r="611" spans="1:18">
      <c r="A611" t="s">
        <v>670</v>
      </c>
      <c r="B611" s="4">
        <v>46231</v>
      </c>
      <c r="C611" t="s">
        <v>541</v>
      </c>
      <c r="D611" t="s">
        <v>37</v>
      </c>
      <c r="E611" t="s">
        <v>38</v>
      </c>
      <c r="F611" t="s">
        <v>46</v>
      </c>
      <c r="G611" t="s">
        <v>40</v>
      </c>
      <c r="H611">
        <v>1</v>
      </c>
      <c r="I611" s="5">
        <v>325719</v>
      </c>
      <c r="J611" s="5">
        <v>68170</v>
      </c>
      <c r="K611" s="5">
        <v>257549</v>
      </c>
      <c r="L611" s="5">
        <v>166603</v>
      </c>
      <c r="M611" s="5">
        <v>23313</v>
      </c>
      <c r="N611" s="5">
        <v>0</v>
      </c>
      <c r="O611" s="5">
        <v>53521</v>
      </c>
      <c r="P611" s="5">
        <v>14112</v>
      </c>
      <c r="Q611">
        <v>8</v>
      </c>
      <c r="R611" t="s">
        <v>41</v>
      </c>
    </row>
    <row r="612" spans="1:18">
      <c r="A612" t="s">
        <v>671</v>
      </c>
      <c r="B612" s="4">
        <v>46261</v>
      </c>
      <c r="C612" t="s">
        <v>541</v>
      </c>
      <c r="D612" t="s">
        <v>37</v>
      </c>
      <c r="E612" t="s">
        <v>45</v>
      </c>
      <c r="F612" t="s">
        <v>46</v>
      </c>
      <c r="G612" t="s">
        <v>43</v>
      </c>
      <c r="H612">
        <v>6</v>
      </c>
      <c r="I612" s="5">
        <v>210887</v>
      </c>
      <c r="J612" s="5">
        <v>35321</v>
      </c>
      <c r="K612" s="5">
        <v>175566</v>
      </c>
      <c r="L612" s="5">
        <v>111271</v>
      </c>
      <c r="M612" s="5">
        <v>12891</v>
      </c>
      <c r="N612" s="5">
        <v>0</v>
      </c>
      <c r="O612" s="5">
        <v>38510</v>
      </c>
      <c r="P612" s="5">
        <v>12894</v>
      </c>
      <c r="Q612">
        <v>6</v>
      </c>
      <c r="R612" t="s">
        <v>41</v>
      </c>
    </row>
    <row r="613" spans="1:18">
      <c r="A613" t="s">
        <v>672</v>
      </c>
      <c r="B613" s="4">
        <v>46289</v>
      </c>
      <c r="C613" t="s">
        <v>541</v>
      </c>
      <c r="D613" t="s">
        <v>37</v>
      </c>
      <c r="E613" t="s">
        <v>55</v>
      </c>
      <c r="F613" t="s">
        <v>51</v>
      </c>
      <c r="G613" t="s">
        <v>43</v>
      </c>
      <c r="H613">
        <v>1</v>
      </c>
      <c r="I613" s="5">
        <v>424351</v>
      </c>
      <c r="J613" s="5">
        <v>80363</v>
      </c>
      <c r="K613" s="5">
        <v>343988</v>
      </c>
      <c r="L613" s="5">
        <v>233738</v>
      </c>
      <c r="M613" s="5">
        <v>28846</v>
      </c>
      <c r="N613" s="5">
        <v>0</v>
      </c>
      <c r="O613" s="5">
        <v>74961</v>
      </c>
      <c r="P613" s="5">
        <v>6443</v>
      </c>
      <c r="Q613">
        <v>5</v>
      </c>
      <c r="R613" t="s">
        <v>41</v>
      </c>
    </row>
    <row r="614" spans="1:18">
      <c r="A614" t="s">
        <v>673</v>
      </c>
      <c r="B614" s="4">
        <v>46273</v>
      </c>
      <c r="C614" t="s">
        <v>541</v>
      </c>
      <c r="D614" t="s">
        <v>37</v>
      </c>
      <c r="E614" t="s">
        <v>59</v>
      </c>
      <c r="F614" t="s">
        <v>46</v>
      </c>
      <c r="G614" t="s">
        <v>43</v>
      </c>
      <c r="H614">
        <v>6</v>
      </c>
      <c r="I614" s="5">
        <v>354995</v>
      </c>
      <c r="J614" s="5">
        <v>69553</v>
      </c>
      <c r="K614" s="5">
        <v>285442</v>
      </c>
      <c r="L614" s="5">
        <v>196936</v>
      </c>
      <c r="M614" s="5">
        <v>19041</v>
      </c>
      <c r="N614" s="5">
        <v>0</v>
      </c>
      <c r="O614" s="5">
        <v>58741</v>
      </c>
      <c r="P614" s="5">
        <v>10724</v>
      </c>
      <c r="Q614">
        <v>3</v>
      </c>
      <c r="R614" t="s">
        <v>41</v>
      </c>
    </row>
    <row r="615" spans="1:18">
      <c r="A615" t="s">
        <v>674</v>
      </c>
      <c r="B615" s="4">
        <v>46243</v>
      </c>
      <c r="C615" t="s">
        <v>541</v>
      </c>
      <c r="D615" t="s">
        <v>37</v>
      </c>
      <c r="E615" t="s">
        <v>59</v>
      </c>
      <c r="F615" t="s">
        <v>49</v>
      </c>
      <c r="G615" t="s">
        <v>40</v>
      </c>
      <c r="H615">
        <v>2</v>
      </c>
      <c r="I615" s="5">
        <v>499689</v>
      </c>
      <c r="J615" s="5">
        <v>98882</v>
      </c>
      <c r="K615" s="5">
        <v>400807</v>
      </c>
      <c r="L615" s="5">
        <v>269157</v>
      </c>
      <c r="M615" s="5">
        <v>33615</v>
      </c>
      <c r="N615" s="5">
        <v>0</v>
      </c>
      <c r="O615" s="5">
        <v>91752</v>
      </c>
      <c r="P615" s="5">
        <v>6283</v>
      </c>
      <c r="Q615">
        <v>6</v>
      </c>
      <c r="R615" t="s">
        <v>41</v>
      </c>
    </row>
    <row r="616" spans="1:18">
      <c r="A616" t="s">
        <v>675</v>
      </c>
      <c r="B616" s="4">
        <v>46264</v>
      </c>
      <c r="C616" t="s">
        <v>541</v>
      </c>
      <c r="D616" t="s">
        <v>37</v>
      </c>
      <c r="E616" t="s">
        <v>59</v>
      </c>
      <c r="F616" t="s">
        <v>61</v>
      </c>
      <c r="G616" t="s">
        <v>40</v>
      </c>
      <c r="H616">
        <v>1</v>
      </c>
      <c r="I616" s="5">
        <v>348850</v>
      </c>
      <c r="J616" s="5">
        <v>77447</v>
      </c>
      <c r="K616" s="5">
        <v>271403</v>
      </c>
      <c r="L616" s="5">
        <v>192957</v>
      </c>
      <c r="M616" s="5">
        <v>25349</v>
      </c>
      <c r="N616" s="5">
        <v>0</v>
      </c>
      <c r="O616" s="5">
        <v>39595</v>
      </c>
      <c r="P616" s="5">
        <v>13502</v>
      </c>
      <c r="Q616">
        <v>5</v>
      </c>
      <c r="R616" t="s">
        <v>41</v>
      </c>
    </row>
    <row r="617" spans="1:18">
      <c r="A617" t="s">
        <v>676</v>
      </c>
      <c r="B617" s="4">
        <v>46214</v>
      </c>
      <c r="C617" t="s">
        <v>541</v>
      </c>
      <c r="D617" t="s">
        <v>37</v>
      </c>
      <c r="E617" t="s">
        <v>45</v>
      </c>
      <c r="F617" t="s">
        <v>46</v>
      </c>
      <c r="G617" t="s">
        <v>40</v>
      </c>
      <c r="H617">
        <v>4</v>
      </c>
      <c r="I617" s="5">
        <v>242189</v>
      </c>
      <c r="J617" s="5">
        <v>42695</v>
      </c>
      <c r="K617" s="5">
        <v>199494</v>
      </c>
      <c r="L617" s="5">
        <v>140850</v>
      </c>
      <c r="M617" s="5">
        <v>17461</v>
      </c>
      <c r="N617" s="5">
        <v>0</v>
      </c>
      <c r="O617" s="5">
        <v>28327</v>
      </c>
      <c r="P617" s="5">
        <v>12856</v>
      </c>
      <c r="Q617">
        <v>7</v>
      </c>
      <c r="R617" t="s">
        <v>41</v>
      </c>
    </row>
    <row r="618" spans="1:18">
      <c r="A618" t="s">
        <v>677</v>
      </c>
      <c r="B618" s="4">
        <v>46244</v>
      </c>
      <c r="C618" t="s">
        <v>541</v>
      </c>
      <c r="D618" t="s">
        <v>37</v>
      </c>
      <c r="E618" t="s">
        <v>55</v>
      </c>
      <c r="F618" t="s">
        <v>39</v>
      </c>
      <c r="G618" t="s">
        <v>40</v>
      </c>
      <c r="H618">
        <v>1</v>
      </c>
      <c r="I618" s="5">
        <v>190167</v>
      </c>
      <c r="J618" s="5">
        <v>35164</v>
      </c>
      <c r="K618" s="5">
        <v>155003</v>
      </c>
      <c r="L618" s="5">
        <v>104471</v>
      </c>
      <c r="M618" s="5">
        <v>11124</v>
      </c>
      <c r="N618" s="5">
        <v>0</v>
      </c>
      <c r="O618" s="5">
        <v>29639</v>
      </c>
      <c r="P618" s="5">
        <v>9769</v>
      </c>
      <c r="Q618">
        <v>6</v>
      </c>
      <c r="R618" t="s">
        <v>41</v>
      </c>
    </row>
    <row r="619" spans="1:18">
      <c r="A619" t="s">
        <v>678</v>
      </c>
      <c r="B619" s="4">
        <v>46223</v>
      </c>
      <c r="C619" t="s">
        <v>541</v>
      </c>
      <c r="D619" t="s">
        <v>37</v>
      </c>
      <c r="E619" t="s">
        <v>45</v>
      </c>
      <c r="F619" t="s">
        <v>46</v>
      </c>
      <c r="G619" t="s">
        <v>40</v>
      </c>
      <c r="H619">
        <v>1</v>
      </c>
      <c r="I619" s="5">
        <v>195735</v>
      </c>
      <c r="J619" s="5">
        <v>43722</v>
      </c>
      <c r="K619" s="5">
        <v>152013</v>
      </c>
      <c r="L619" s="5">
        <v>101813</v>
      </c>
      <c r="M619" s="5">
        <v>9710</v>
      </c>
      <c r="N619" s="5">
        <v>0</v>
      </c>
      <c r="O619" s="5">
        <v>32754</v>
      </c>
      <c r="P619" s="5">
        <v>7736</v>
      </c>
      <c r="Q619">
        <v>6</v>
      </c>
      <c r="R619" t="s">
        <v>41</v>
      </c>
    </row>
    <row r="620" spans="1:18">
      <c r="A620" t="s">
        <v>679</v>
      </c>
      <c r="B620" s="4">
        <v>46244</v>
      </c>
      <c r="C620" t="s">
        <v>541</v>
      </c>
      <c r="D620" t="s">
        <v>37</v>
      </c>
      <c r="E620" t="s">
        <v>38</v>
      </c>
      <c r="F620" t="s">
        <v>46</v>
      </c>
      <c r="G620" t="s">
        <v>43</v>
      </c>
      <c r="H620">
        <v>3</v>
      </c>
      <c r="I620" s="5">
        <v>513393</v>
      </c>
      <c r="J620" s="5">
        <v>80419</v>
      </c>
      <c r="K620" s="5">
        <v>432974</v>
      </c>
      <c r="L620" s="5">
        <v>289169</v>
      </c>
      <c r="M620" s="5">
        <v>26415</v>
      </c>
      <c r="N620" s="5">
        <v>0</v>
      </c>
      <c r="O620" s="5">
        <v>108141</v>
      </c>
      <c r="P620" s="5">
        <v>9249</v>
      </c>
      <c r="Q620">
        <v>5</v>
      </c>
      <c r="R620" t="s">
        <v>41</v>
      </c>
    </row>
    <row r="621" spans="1:18">
      <c r="A621" t="s">
        <v>680</v>
      </c>
      <c r="B621" s="4">
        <v>46279</v>
      </c>
      <c r="C621" t="s">
        <v>541</v>
      </c>
      <c r="D621" t="s">
        <v>37</v>
      </c>
      <c r="E621" t="s">
        <v>38</v>
      </c>
      <c r="F621" t="s">
        <v>46</v>
      </c>
      <c r="G621" t="s">
        <v>43</v>
      </c>
      <c r="H621">
        <v>1</v>
      </c>
      <c r="I621" s="5">
        <v>246580</v>
      </c>
      <c r="J621" s="5">
        <v>32902</v>
      </c>
      <c r="K621" s="5">
        <v>213678</v>
      </c>
      <c r="L621" s="5">
        <v>142125</v>
      </c>
      <c r="M621" s="5">
        <v>14009</v>
      </c>
      <c r="N621" s="5">
        <v>0</v>
      </c>
      <c r="O621" s="5">
        <v>49581</v>
      </c>
      <c r="P621" s="5">
        <v>7963</v>
      </c>
      <c r="Q621">
        <v>8</v>
      </c>
      <c r="R621" t="s">
        <v>41</v>
      </c>
    </row>
    <row r="622" spans="1:18">
      <c r="A622" t="s">
        <v>681</v>
      </c>
      <c r="B622" s="4">
        <v>46206</v>
      </c>
      <c r="C622" t="s">
        <v>541</v>
      </c>
      <c r="D622" t="s">
        <v>37</v>
      </c>
      <c r="E622" t="s">
        <v>45</v>
      </c>
      <c r="F622" t="s">
        <v>49</v>
      </c>
      <c r="G622" t="s">
        <v>40</v>
      </c>
      <c r="H622">
        <v>2</v>
      </c>
      <c r="I622" s="5">
        <v>312202</v>
      </c>
      <c r="J622" s="5">
        <v>55040</v>
      </c>
      <c r="K622" s="5">
        <v>257162</v>
      </c>
      <c r="L622" s="5">
        <v>175885</v>
      </c>
      <c r="M622" s="5">
        <v>15091</v>
      </c>
      <c r="N622" s="5">
        <v>13337</v>
      </c>
      <c r="O622" s="5">
        <v>36698</v>
      </c>
      <c r="P622" s="5">
        <v>16151</v>
      </c>
      <c r="Q622">
        <v>7</v>
      </c>
      <c r="R622" t="s">
        <v>53</v>
      </c>
    </row>
    <row r="623" spans="1:18">
      <c r="A623" t="s">
        <v>682</v>
      </c>
      <c r="B623" s="4">
        <v>46285</v>
      </c>
      <c r="C623" t="s">
        <v>541</v>
      </c>
      <c r="D623" t="s">
        <v>37</v>
      </c>
      <c r="E623" t="s">
        <v>38</v>
      </c>
      <c r="F623" t="s">
        <v>51</v>
      </c>
      <c r="G623" t="s">
        <v>43</v>
      </c>
      <c r="H623">
        <v>5</v>
      </c>
      <c r="I623" s="5">
        <v>458473</v>
      </c>
      <c r="J623" s="5">
        <v>84423</v>
      </c>
      <c r="K623" s="5">
        <v>374050</v>
      </c>
      <c r="L623" s="5">
        <v>254738</v>
      </c>
      <c r="M623" s="5">
        <v>30485</v>
      </c>
      <c r="N623" s="5">
        <v>0</v>
      </c>
      <c r="O623" s="5">
        <v>83268</v>
      </c>
      <c r="P623" s="5">
        <v>5559</v>
      </c>
      <c r="Q623">
        <v>3</v>
      </c>
      <c r="R623" t="s">
        <v>41</v>
      </c>
    </row>
    <row r="624" spans="1:18">
      <c r="A624" t="s">
        <v>683</v>
      </c>
      <c r="B624" s="4">
        <v>46261</v>
      </c>
      <c r="C624" t="s">
        <v>541</v>
      </c>
      <c r="D624" t="s">
        <v>37</v>
      </c>
      <c r="E624" t="s">
        <v>59</v>
      </c>
      <c r="F624" t="s">
        <v>61</v>
      </c>
      <c r="G624" t="s">
        <v>43</v>
      </c>
      <c r="H624">
        <v>5</v>
      </c>
      <c r="I624" s="5">
        <v>435794</v>
      </c>
      <c r="J624" s="5">
        <v>104953</v>
      </c>
      <c r="K624" s="5">
        <v>330841</v>
      </c>
      <c r="L624" s="5">
        <v>231802</v>
      </c>
      <c r="M624" s="5">
        <v>24488</v>
      </c>
      <c r="N624" s="5">
        <v>0</v>
      </c>
      <c r="O624" s="5">
        <v>61955</v>
      </c>
      <c r="P624" s="5">
        <v>12596</v>
      </c>
      <c r="Q624">
        <v>6</v>
      </c>
      <c r="R624" t="s">
        <v>41</v>
      </c>
    </row>
    <row r="625" spans="1:18">
      <c r="A625" t="s">
        <v>684</v>
      </c>
      <c r="B625" s="4">
        <v>46280</v>
      </c>
      <c r="C625" t="s">
        <v>541</v>
      </c>
      <c r="D625" t="s">
        <v>37</v>
      </c>
      <c r="E625" t="s">
        <v>45</v>
      </c>
      <c r="F625" t="s">
        <v>46</v>
      </c>
      <c r="G625" t="s">
        <v>43</v>
      </c>
      <c r="H625">
        <v>6</v>
      </c>
      <c r="I625" s="5">
        <v>343184</v>
      </c>
      <c r="J625" s="5">
        <v>53929</v>
      </c>
      <c r="K625" s="5">
        <v>289255</v>
      </c>
      <c r="L625" s="5">
        <v>191858</v>
      </c>
      <c r="M625" s="5">
        <v>27462</v>
      </c>
      <c r="N625" s="5">
        <v>0</v>
      </c>
      <c r="O625" s="5">
        <v>62804</v>
      </c>
      <c r="P625" s="5">
        <v>7131</v>
      </c>
      <c r="Q625">
        <v>10</v>
      </c>
      <c r="R625" t="s">
        <v>41</v>
      </c>
    </row>
    <row r="626" spans="1:18">
      <c r="A626" t="s">
        <v>685</v>
      </c>
      <c r="B626" s="4">
        <v>46212</v>
      </c>
      <c r="C626" t="s">
        <v>541</v>
      </c>
      <c r="D626" t="s">
        <v>37</v>
      </c>
      <c r="E626" t="s">
        <v>45</v>
      </c>
      <c r="F626" t="s">
        <v>61</v>
      </c>
      <c r="G626" t="s">
        <v>43</v>
      </c>
      <c r="H626">
        <v>6</v>
      </c>
      <c r="I626" s="5">
        <v>526923</v>
      </c>
      <c r="J626" s="5">
        <v>103043</v>
      </c>
      <c r="K626" s="5">
        <v>423880</v>
      </c>
      <c r="L626" s="5">
        <v>291680</v>
      </c>
      <c r="M626" s="5">
        <v>27482</v>
      </c>
      <c r="N626" s="5">
        <v>0</v>
      </c>
      <c r="O626" s="5">
        <v>94382</v>
      </c>
      <c r="P626" s="5">
        <v>10336</v>
      </c>
      <c r="Q626">
        <v>9</v>
      </c>
      <c r="R626" t="s">
        <v>41</v>
      </c>
    </row>
    <row r="627" spans="1:18">
      <c r="A627" t="s">
        <v>686</v>
      </c>
      <c r="B627" s="4">
        <v>46282</v>
      </c>
      <c r="C627" t="s">
        <v>541</v>
      </c>
      <c r="D627" t="s">
        <v>37</v>
      </c>
      <c r="E627" t="s">
        <v>45</v>
      </c>
      <c r="F627" t="s">
        <v>39</v>
      </c>
      <c r="G627" t="s">
        <v>43</v>
      </c>
      <c r="H627">
        <v>6</v>
      </c>
      <c r="I627" s="5">
        <v>470768</v>
      </c>
      <c r="J627" s="5">
        <v>91209</v>
      </c>
      <c r="K627" s="5">
        <v>379559</v>
      </c>
      <c r="L627" s="5">
        <v>268689</v>
      </c>
      <c r="M627" s="5">
        <v>26195</v>
      </c>
      <c r="N627" s="5">
        <v>0</v>
      </c>
      <c r="O627" s="5">
        <v>73142</v>
      </c>
      <c r="P627" s="5">
        <v>11533</v>
      </c>
      <c r="Q627">
        <v>6</v>
      </c>
      <c r="R627" t="s">
        <v>41</v>
      </c>
    </row>
    <row r="628" spans="1:18">
      <c r="A628" t="s">
        <v>687</v>
      </c>
      <c r="B628" s="4">
        <v>46280</v>
      </c>
      <c r="C628" t="s">
        <v>541</v>
      </c>
      <c r="D628" t="s">
        <v>37</v>
      </c>
      <c r="E628" t="s">
        <v>45</v>
      </c>
      <c r="F628" t="s">
        <v>61</v>
      </c>
      <c r="G628" t="s">
        <v>40</v>
      </c>
      <c r="H628">
        <v>6</v>
      </c>
      <c r="I628" s="5">
        <v>502102</v>
      </c>
      <c r="J628" s="5">
        <v>77753</v>
      </c>
      <c r="K628" s="5">
        <v>424349</v>
      </c>
      <c r="L628" s="5">
        <v>317127</v>
      </c>
      <c r="M628" s="5">
        <v>30399</v>
      </c>
      <c r="N628" s="5">
        <v>0</v>
      </c>
      <c r="O628" s="5">
        <v>65147</v>
      </c>
      <c r="P628" s="5">
        <v>11676</v>
      </c>
      <c r="Q628">
        <v>6</v>
      </c>
      <c r="R628" t="s">
        <v>41</v>
      </c>
    </row>
    <row r="629" spans="1:18">
      <c r="A629" t="s">
        <v>688</v>
      </c>
      <c r="B629" s="4">
        <v>46293</v>
      </c>
      <c r="C629" t="s">
        <v>541</v>
      </c>
      <c r="D629" t="s">
        <v>37</v>
      </c>
      <c r="E629" t="s">
        <v>55</v>
      </c>
      <c r="F629" t="s">
        <v>46</v>
      </c>
      <c r="G629" t="s">
        <v>40</v>
      </c>
      <c r="H629">
        <v>6</v>
      </c>
      <c r="I629" s="5">
        <v>192147</v>
      </c>
      <c r="J629" s="5">
        <v>42723</v>
      </c>
      <c r="K629" s="5">
        <v>149424</v>
      </c>
      <c r="L629" s="5">
        <v>90842</v>
      </c>
      <c r="M629" s="5">
        <v>8062</v>
      </c>
      <c r="N629" s="5">
        <v>6973</v>
      </c>
      <c r="O629" s="5">
        <v>27639</v>
      </c>
      <c r="P629" s="5">
        <v>15908</v>
      </c>
      <c r="Q629">
        <v>5</v>
      </c>
      <c r="R629" t="s">
        <v>53</v>
      </c>
    </row>
    <row r="630" spans="1:18">
      <c r="A630" t="s">
        <v>689</v>
      </c>
      <c r="B630" s="4">
        <v>46219</v>
      </c>
      <c r="C630" t="s">
        <v>541</v>
      </c>
      <c r="D630" t="s">
        <v>37</v>
      </c>
      <c r="E630" t="s">
        <v>45</v>
      </c>
      <c r="F630" t="s">
        <v>46</v>
      </c>
      <c r="G630" t="s">
        <v>43</v>
      </c>
      <c r="H630">
        <v>4</v>
      </c>
      <c r="I630" s="5">
        <v>287285</v>
      </c>
      <c r="J630" s="5">
        <v>44441</v>
      </c>
      <c r="K630" s="5">
        <v>242844</v>
      </c>
      <c r="L630" s="5">
        <v>176746</v>
      </c>
      <c r="M630" s="5">
        <v>21535</v>
      </c>
      <c r="N630" s="5">
        <v>0</v>
      </c>
      <c r="O630" s="5">
        <v>34179</v>
      </c>
      <c r="P630" s="5">
        <v>10384</v>
      </c>
      <c r="Q630">
        <v>4</v>
      </c>
      <c r="R630" t="s">
        <v>41</v>
      </c>
    </row>
    <row r="631" spans="1:18">
      <c r="A631" t="s">
        <v>690</v>
      </c>
      <c r="B631" s="4">
        <v>46228</v>
      </c>
      <c r="C631" t="s">
        <v>541</v>
      </c>
      <c r="D631" t="s">
        <v>37</v>
      </c>
      <c r="E631" t="s">
        <v>55</v>
      </c>
      <c r="F631" t="s">
        <v>61</v>
      </c>
      <c r="G631" t="s">
        <v>40</v>
      </c>
      <c r="H631">
        <v>6</v>
      </c>
      <c r="I631" s="5">
        <v>305442</v>
      </c>
      <c r="J631" s="5">
        <v>63051</v>
      </c>
      <c r="K631" s="5">
        <v>242391</v>
      </c>
      <c r="L631" s="5">
        <v>174920</v>
      </c>
      <c r="M631" s="5">
        <v>14210</v>
      </c>
      <c r="N631" s="5">
        <v>0</v>
      </c>
      <c r="O631" s="5">
        <v>46380</v>
      </c>
      <c r="P631" s="5">
        <v>6881</v>
      </c>
      <c r="Q631">
        <v>8</v>
      </c>
      <c r="R631" t="s">
        <v>41</v>
      </c>
    </row>
    <row r="632" spans="1:18">
      <c r="A632" t="s">
        <v>691</v>
      </c>
      <c r="B632" s="4">
        <v>46242</v>
      </c>
      <c r="C632" t="s">
        <v>541</v>
      </c>
      <c r="D632" t="s">
        <v>37</v>
      </c>
      <c r="E632" t="s">
        <v>38</v>
      </c>
      <c r="F632" t="s">
        <v>51</v>
      </c>
      <c r="G632" t="s">
        <v>43</v>
      </c>
      <c r="H632">
        <v>3</v>
      </c>
      <c r="I632" s="5">
        <v>446204</v>
      </c>
      <c r="J632" s="5">
        <v>92908</v>
      </c>
      <c r="K632" s="5">
        <v>353296</v>
      </c>
      <c r="L632" s="5">
        <v>259648</v>
      </c>
      <c r="M632" s="5">
        <v>25291</v>
      </c>
      <c r="N632" s="5">
        <v>18560</v>
      </c>
      <c r="O632" s="5">
        <v>36833</v>
      </c>
      <c r="P632" s="5">
        <v>12964</v>
      </c>
      <c r="Q632">
        <v>6</v>
      </c>
      <c r="R632" t="s">
        <v>53</v>
      </c>
    </row>
    <row r="633" spans="1:18">
      <c r="A633" t="s">
        <v>692</v>
      </c>
      <c r="B633" s="4">
        <v>46285</v>
      </c>
      <c r="C633" t="s">
        <v>541</v>
      </c>
      <c r="D633" t="s">
        <v>37</v>
      </c>
      <c r="E633" t="s">
        <v>55</v>
      </c>
      <c r="F633" t="s">
        <v>61</v>
      </c>
      <c r="G633" t="s">
        <v>43</v>
      </c>
      <c r="H633">
        <v>5</v>
      </c>
      <c r="I633" s="5">
        <v>335776</v>
      </c>
      <c r="J633" s="5">
        <v>73770</v>
      </c>
      <c r="K633" s="5">
        <v>262006</v>
      </c>
      <c r="L633" s="5">
        <v>189279</v>
      </c>
      <c r="M633" s="5">
        <v>21449</v>
      </c>
      <c r="N633" s="5">
        <v>17663</v>
      </c>
      <c r="O633" s="5">
        <v>26235</v>
      </c>
      <c r="P633" s="5">
        <v>7380</v>
      </c>
      <c r="Q633">
        <v>6</v>
      </c>
      <c r="R633" t="s">
        <v>53</v>
      </c>
    </row>
    <row r="634" spans="1:18">
      <c r="A634" t="s">
        <v>693</v>
      </c>
      <c r="B634" s="4">
        <v>46281</v>
      </c>
      <c r="C634" t="s">
        <v>541</v>
      </c>
      <c r="D634" t="s">
        <v>37</v>
      </c>
      <c r="E634" t="s">
        <v>38</v>
      </c>
      <c r="F634" t="s">
        <v>61</v>
      </c>
      <c r="G634" t="s">
        <v>40</v>
      </c>
      <c r="H634">
        <v>6</v>
      </c>
      <c r="I634" s="5">
        <v>244738</v>
      </c>
      <c r="J634" s="5">
        <v>38816</v>
      </c>
      <c r="K634" s="5">
        <v>205922</v>
      </c>
      <c r="L634" s="5">
        <v>133311</v>
      </c>
      <c r="M634" s="5">
        <v>17117</v>
      </c>
      <c r="N634" s="5">
        <v>0</v>
      </c>
      <c r="O634" s="5">
        <v>40716</v>
      </c>
      <c r="P634" s="5">
        <v>14778</v>
      </c>
      <c r="Q634">
        <v>6</v>
      </c>
      <c r="R634" t="s">
        <v>41</v>
      </c>
    </row>
    <row r="635" spans="1:18">
      <c r="A635" t="s">
        <v>694</v>
      </c>
      <c r="B635" s="4">
        <v>46239</v>
      </c>
      <c r="C635" t="s">
        <v>541</v>
      </c>
      <c r="D635" t="s">
        <v>37</v>
      </c>
      <c r="E635" t="s">
        <v>38</v>
      </c>
      <c r="F635" t="s">
        <v>61</v>
      </c>
      <c r="G635" t="s">
        <v>43</v>
      </c>
      <c r="H635">
        <v>6</v>
      </c>
      <c r="I635" s="5">
        <v>419902</v>
      </c>
      <c r="J635" s="5">
        <v>86039</v>
      </c>
      <c r="K635" s="5">
        <v>333863</v>
      </c>
      <c r="L635" s="5">
        <v>235272</v>
      </c>
      <c r="M635" s="5">
        <v>22236</v>
      </c>
      <c r="N635" s="5">
        <v>0</v>
      </c>
      <c r="O635" s="5">
        <v>64214</v>
      </c>
      <c r="P635" s="5">
        <v>12141</v>
      </c>
      <c r="Q635">
        <v>6</v>
      </c>
      <c r="R635" t="s">
        <v>41</v>
      </c>
    </row>
    <row r="636" spans="1:18">
      <c r="A636" t="s">
        <v>695</v>
      </c>
      <c r="B636" s="4">
        <v>46210</v>
      </c>
      <c r="C636" t="s">
        <v>541</v>
      </c>
      <c r="D636" t="s">
        <v>37</v>
      </c>
      <c r="E636" t="s">
        <v>45</v>
      </c>
      <c r="F636" t="s">
        <v>46</v>
      </c>
      <c r="G636" t="s">
        <v>43</v>
      </c>
      <c r="H636">
        <v>3</v>
      </c>
      <c r="I636" s="5">
        <v>345923</v>
      </c>
      <c r="J636" s="5">
        <v>49887</v>
      </c>
      <c r="K636" s="5">
        <v>296036</v>
      </c>
      <c r="L636" s="5">
        <v>216376</v>
      </c>
      <c r="M636" s="5">
        <v>24241</v>
      </c>
      <c r="N636" s="5">
        <v>0</v>
      </c>
      <c r="O636" s="5">
        <v>42447</v>
      </c>
      <c r="P636" s="5">
        <v>12972</v>
      </c>
      <c r="Q636">
        <v>5</v>
      </c>
      <c r="R636" t="s">
        <v>41</v>
      </c>
    </row>
    <row r="637" spans="1:18">
      <c r="A637" t="s">
        <v>696</v>
      </c>
      <c r="B637" s="4">
        <v>46210</v>
      </c>
      <c r="C637" t="s">
        <v>541</v>
      </c>
      <c r="D637" t="s">
        <v>37</v>
      </c>
      <c r="E637" t="s">
        <v>45</v>
      </c>
      <c r="F637" t="s">
        <v>46</v>
      </c>
      <c r="G637" t="s">
        <v>43</v>
      </c>
      <c r="H637">
        <v>3</v>
      </c>
      <c r="I637" s="5">
        <v>527799</v>
      </c>
      <c r="J637" s="5">
        <v>111114</v>
      </c>
      <c r="K637" s="5">
        <v>416685</v>
      </c>
      <c r="L637" s="5">
        <v>298016</v>
      </c>
      <c r="M637" s="5">
        <v>33186</v>
      </c>
      <c r="N637" s="5">
        <v>24203</v>
      </c>
      <c r="O637" s="5">
        <v>55878</v>
      </c>
      <c r="P637" s="5">
        <v>5402</v>
      </c>
      <c r="Q637">
        <v>7</v>
      </c>
      <c r="R637" t="s">
        <v>53</v>
      </c>
    </row>
    <row r="638" spans="1:18">
      <c r="A638" t="s">
        <v>697</v>
      </c>
      <c r="B638" s="4">
        <v>46292</v>
      </c>
      <c r="C638" t="s">
        <v>541</v>
      </c>
      <c r="D638" t="s">
        <v>37</v>
      </c>
      <c r="E638" t="s">
        <v>55</v>
      </c>
      <c r="F638" t="s">
        <v>61</v>
      </c>
      <c r="G638" t="s">
        <v>40</v>
      </c>
      <c r="H638">
        <v>2</v>
      </c>
      <c r="I638" s="5">
        <v>497453</v>
      </c>
      <c r="J638" s="5">
        <v>100990</v>
      </c>
      <c r="K638" s="5">
        <v>396463</v>
      </c>
      <c r="L638" s="5">
        <v>264164</v>
      </c>
      <c r="M638" s="5">
        <v>31849</v>
      </c>
      <c r="N638" s="5">
        <v>22865</v>
      </c>
      <c r="O638" s="5">
        <v>65438</v>
      </c>
      <c r="P638" s="5">
        <v>12147</v>
      </c>
      <c r="Q638">
        <v>6</v>
      </c>
      <c r="R638" t="s">
        <v>53</v>
      </c>
    </row>
    <row r="639" spans="1:18">
      <c r="A639" t="s">
        <v>698</v>
      </c>
      <c r="B639" s="4">
        <v>46207</v>
      </c>
      <c r="C639" t="s">
        <v>541</v>
      </c>
      <c r="D639" t="s">
        <v>37</v>
      </c>
      <c r="E639" t="s">
        <v>45</v>
      </c>
      <c r="F639" t="s">
        <v>39</v>
      </c>
      <c r="G639" t="s">
        <v>40</v>
      </c>
      <c r="H639">
        <v>1</v>
      </c>
      <c r="I639" s="5">
        <v>372791</v>
      </c>
      <c r="J639" s="5">
        <v>72865</v>
      </c>
      <c r="K639" s="5">
        <v>299926</v>
      </c>
      <c r="L639" s="5">
        <v>213827</v>
      </c>
      <c r="M639" s="5">
        <v>18547</v>
      </c>
      <c r="N639" s="5">
        <v>0</v>
      </c>
      <c r="O639" s="5">
        <v>58018</v>
      </c>
      <c r="P639" s="5">
        <v>9534</v>
      </c>
      <c r="Q639">
        <v>7</v>
      </c>
      <c r="R639" t="s">
        <v>41</v>
      </c>
    </row>
    <row r="640" spans="1:18">
      <c r="A640" t="s">
        <v>699</v>
      </c>
      <c r="B640" s="4">
        <v>46234</v>
      </c>
      <c r="C640" t="s">
        <v>541</v>
      </c>
      <c r="D640" t="s">
        <v>37</v>
      </c>
      <c r="E640" t="s">
        <v>59</v>
      </c>
      <c r="F640" t="s">
        <v>49</v>
      </c>
      <c r="G640" t="s">
        <v>43</v>
      </c>
      <c r="H640">
        <v>1</v>
      </c>
      <c r="I640" s="5">
        <v>395835</v>
      </c>
      <c r="J640" s="5">
        <v>36741</v>
      </c>
      <c r="K640" s="5">
        <v>359094</v>
      </c>
      <c r="L640" s="5">
        <v>261403</v>
      </c>
      <c r="M640" s="5">
        <v>32155</v>
      </c>
      <c r="N640" s="5">
        <v>0</v>
      </c>
      <c r="O640" s="5">
        <v>52706</v>
      </c>
      <c r="P640" s="5">
        <v>12830</v>
      </c>
      <c r="Q640">
        <v>7</v>
      </c>
      <c r="R640" t="s">
        <v>41</v>
      </c>
    </row>
    <row r="641" spans="1:18">
      <c r="A641" t="s">
        <v>700</v>
      </c>
      <c r="B641" s="4">
        <v>46292</v>
      </c>
      <c r="C641" t="s">
        <v>541</v>
      </c>
      <c r="D641" t="s">
        <v>37</v>
      </c>
      <c r="E641" t="s">
        <v>59</v>
      </c>
      <c r="F641" t="s">
        <v>51</v>
      </c>
      <c r="G641" t="s">
        <v>40</v>
      </c>
      <c r="H641">
        <v>4</v>
      </c>
      <c r="I641" s="5">
        <v>248788</v>
      </c>
      <c r="J641" s="5">
        <v>36701</v>
      </c>
      <c r="K641" s="5">
        <v>212087</v>
      </c>
      <c r="L641" s="5">
        <v>138212</v>
      </c>
      <c r="M641" s="5">
        <v>12546</v>
      </c>
      <c r="N641" s="5">
        <v>8547</v>
      </c>
      <c r="O641" s="5">
        <v>41674</v>
      </c>
      <c r="P641" s="5">
        <v>11108</v>
      </c>
      <c r="Q641">
        <v>4</v>
      </c>
      <c r="R641" t="s">
        <v>53</v>
      </c>
    </row>
    <row r="642" spans="1:18">
      <c r="A642" t="s">
        <v>701</v>
      </c>
      <c r="B642" s="4">
        <v>46252</v>
      </c>
      <c r="C642" t="s">
        <v>541</v>
      </c>
      <c r="D642" t="s">
        <v>37</v>
      </c>
      <c r="E642" t="s">
        <v>55</v>
      </c>
      <c r="F642" t="s">
        <v>61</v>
      </c>
      <c r="G642" t="s">
        <v>43</v>
      </c>
      <c r="H642">
        <v>2</v>
      </c>
      <c r="I642" s="5">
        <v>213640</v>
      </c>
      <c r="J642" s="5">
        <v>48124</v>
      </c>
      <c r="K642" s="5">
        <v>165516</v>
      </c>
      <c r="L642" s="5">
        <v>112813</v>
      </c>
      <c r="M642" s="5">
        <v>10055</v>
      </c>
      <c r="N642" s="5">
        <v>5035</v>
      </c>
      <c r="O642" s="5">
        <v>29030</v>
      </c>
      <c r="P642" s="5">
        <v>8583</v>
      </c>
      <c r="Q642">
        <v>7</v>
      </c>
      <c r="R642" t="s">
        <v>53</v>
      </c>
    </row>
    <row r="643" spans="1:18">
      <c r="A643" t="s">
        <v>702</v>
      </c>
      <c r="B643" s="4">
        <v>46258</v>
      </c>
      <c r="C643" t="s">
        <v>541</v>
      </c>
      <c r="D643" t="s">
        <v>37</v>
      </c>
      <c r="E643" t="s">
        <v>59</v>
      </c>
      <c r="F643" t="s">
        <v>39</v>
      </c>
      <c r="G643" t="s">
        <v>40</v>
      </c>
      <c r="H643">
        <v>4</v>
      </c>
      <c r="I643" s="5">
        <v>458664</v>
      </c>
      <c r="J643" s="5">
        <v>101188</v>
      </c>
      <c r="K643" s="5">
        <v>357476</v>
      </c>
      <c r="L643" s="5">
        <v>253221</v>
      </c>
      <c r="M643" s="5">
        <v>26877</v>
      </c>
      <c r="N643" s="5">
        <v>0</v>
      </c>
      <c r="O643" s="5">
        <v>63878</v>
      </c>
      <c r="P643" s="5">
        <v>13500</v>
      </c>
      <c r="Q643">
        <v>4</v>
      </c>
      <c r="R643" t="s">
        <v>41</v>
      </c>
    </row>
    <row r="644" spans="1:18">
      <c r="A644" t="s">
        <v>703</v>
      </c>
      <c r="B644" s="4">
        <v>46279</v>
      </c>
      <c r="C644" t="s">
        <v>541</v>
      </c>
      <c r="D644" t="s">
        <v>37</v>
      </c>
      <c r="E644" t="s">
        <v>38</v>
      </c>
      <c r="F644" t="s">
        <v>49</v>
      </c>
      <c r="G644" t="s">
        <v>40</v>
      </c>
      <c r="H644">
        <v>6</v>
      </c>
      <c r="I644" s="5">
        <v>330285</v>
      </c>
      <c r="J644" s="5">
        <v>44151</v>
      </c>
      <c r="K644" s="5">
        <v>286134</v>
      </c>
      <c r="L644" s="5">
        <v>188448</v>
      </c>
      <c r="M644" s="5">
        <v>16527</v>
      </c>
      <c r="N644" s="5">
        <v>0</v>
      </c>
      <c r="O644" s="5">
        <v>68250</v>
      </c>
      <c r="P644" s="5">
        <v>12909</v>
      </c>
      <c r="Q644">
        <v>6</v>
      </c>
      <c r="R644" t="s">
        <v>41</v>
      </c>
    </row>
    <row r="645" spans="1:18">
      <c r="A645" t="s">
        <v>704</v>
      </c>
      <c r="B645" s="4">
        <v>46209</v>
      </c>
      <c r="C645" t="s">
        <v>541</v>
      </c>
      <c r="D645" t="s">
        <v>37</v>
      </c>
      <c r="E645" t="s">
        <v>59</v>
      </c>
      <c r="F645" t="s">
        <v>51</v>
      </c>
      <c r="G645" t="s">
        <v>43</v>
      </c>
      <c r="H645">
        <v>5</v>
      </c>
      <c r="I645" s="5">
        <v>176123</v>
      </c>
      <c r="J645" s="5">
        <v>25934</v>
      </c>
      <c r="K645" s="5">
        <v>150189</v>
      </c>
      <c r="L645" s="5">
        <v>99965</v>
      </c>
      <c r="M645" s="5">
        <v>11724</v>
      </c>
      <c r="N645" s="5">
        <v>4907</v>
      </c>
      <c r="O645" s="5">
        <v>21606</v>
      </c>
      <c r="P645" s="5">
        <v>11987</v>
      </c>
      <c r="Q645">
        <v>6</v>
      </c>
      <c r="R645" t="s">
        <v>53</v>
      </c>
    </row>
    <row r="646" spans="1:18">
      <c r="A646" t="s">
        <v>705</v>
      </c>
      <c r="B646" s="4">
        <v>46222</v>
      </c>
      <c r="C646" t="s">
        <v>541</v>
      </c>
      <c r="D646" t="s">
        <v>37</v>
      </c>
      <c r="E646" t="s">
        <v>38</v>
      </c>
      <c r="F646" t="s">
        <v>46</v>
      </c>
      <c r="G646" t="s">
        <v>43</v>
      </c>
      <c r="H646">
        <v>5</v>
      </c>
      <c r="I646" s="5">
        <v>451598</v>
      </c>
      <c r="J646" s="5">
        <v>44435</v>
      </c>
      <c r="K646" s="5">
        <v>407163</v>
      </c>
      <c r="L646" s="5">
        <v>295850</v>
      </c>
      <c r="M646" s="5">
        <v>28658</v>
      </c>
      <c r="N646" s="5">
        <v>0</v>
      </c>
      <c r="O646" s="5">
        <v>71070</v>
      </c>
      <c r="P646" s="5">
        <v>11585</v>
      </c>
      <c r="Q646">
        <v>7</v>
      </c>
      <c r="R646" t="s">
        <v>41</v>
      </c>
    </row>
    <row r="647" spans="1:18">
      <c r="A647" t="s">
        <v>706</v>
      </c>
      <c r="B647" s="4">
        <v>46211</v>
      </c>
      <c r="C647" t="s">
        <v>541</v>
      </c>
      <c r="D647" t="s">
        <v>37</v>
      </c>
      <c r="E647" t="s">
        <v>38</v>
      </c>
      <c r="F647" t="s">
        <v>49</v>
      </c>
      <c r="G647" t="s">
        <v>40</v>
      </c>
      <c r="H647">
        <v>4</v>
      </c>
      <c r="I647" s="5">
        <v>385921</v>
      </c>
      <c r="J647" s="5">
        <v>62324</v>
      </c>
      <c r="K647" s="5">
        <v>323597</v>
      </c>
      <c r="L647" s="5">
        <v>215094</v>
      </c>
      <c r="M647" s="5">
        <v>26370</v>
      </c>
      <c r="N647" s="5">
        <v>0</v>
      </c>
      <c r="O647" s="5">
        <v>74514</v>
      </c>
      <c r="P647" s="5">
        <v>7619</v>
      </c>
      <c r="Q647">
        <v>7</v>
      </c>
      <c r="R647" t="s">
        <v>41</v>
      </c>
    </row>
    <row r="648" spans="1:18">
      <c r="A648" t="s">
        <v>707</v>
      </c>
      <c r="B648" s="4">
        <v>46264</v>
      </c>
      <c r="C648" t="s">
        <v>541</v>
      </c>
      <c r="D648" t="s">
        <v>37</v>
      </c>
      <c r="E648" t="s">
        <v>55</v>
      </c>
      <c r="F648" t="s">
        <v>49</v>
      </c>
      <c r="G648" t="s">
        <v>43</v>
      </c>
      <c r="H648">
        <v>5</v>
      </c>
      <c r="I648" s="5">
        <v>246072</v>
      </c>
      <c r="J648" s="5">
        <v>31179</v>
      </c>
      <c r="K648" s="5">
        <v>214893</v>
      </c>
      <c r="L648" s="5">
        <v>149099</v>
      </c>
      <c r="M648" s="5">
        <v>13754</v>
      </c>
      <c r="N648" s="5">
        <v>7594</v>
      </c>
      <c r="O648" s="5">
        <v>31681</v>
      </c>
      <c r="P648" s="5">
        <v>12765</v>
      </c>
      <c r="Q648">
        <v>10</v>
      </c>
      <c r="R648" t="s">
        <v>53</v>
      </c>
    </row>
    <row r="649" spans="1:18">
      <c r="A649" t="s">
        <v>708</v>
      </c>
      <c r="B649" s="4">
        <v>46209</v>
      </c>
      <c r="C649" t="s">
        <v>541</v>
      </c>
      <c r="D649" t="s">
        <v>37</v>
      </c>
      <c r="E649" t="s">
        <v>55</v>
      </c>
      <c r="F649" t="s">
        <v>51</v>
      </c>
      <c r="G649" t="s">
        <v>40</v>
      </c>
      <c r="H649">
        <v>6</v>
      </c>
      <c r="I649" s="5">
        <v>391534</v>
      </c>
      <c r="J649" s="5">
        <v>59136</v>
      </c>
      <c r="K649" s="5">
        <v>332398</v>
      </c>
      <c r="L649" s="5">
        <v>226459</v>
      </c>
      <c r="M649" s="5">
        <v>23430</v>
      </c>
      <c r="N649" s="5">
        <v>20835</v>
      </c>
      <c r="O649" s="5">
        <v>49601</v>
      </c>
      <c r="P649" s="5">
        <v>12073</v>
      </c>
      <c r="Q649">
        <v>5</v>
      </c>
      <c r="R649" t="s">
        <v>53</v>
      </c>
    </row>
    <row r="650" spans="1:18">
      <c r="A650" t="s">
        <v>709</v>
      </c>
      <c r="B650" s="4">
        <v>46246</v>
      </c>
      <c r="C650" t="s">
        <v>541</v>
      </c>
      <c r="D650" t="s">
        <v>37</v>
      </c>
      <c r="E650" t="s">
        <v>55</v>
      </c>
      <c r="F650" t="s">
        <v>51</v>
      </c>
      <c r="G650" t="s">
        <v>43</v>
      </c>
      <c r="H650">
        <v>2</v>
      </c>
      <c r="I650" s="5">
        <v>182450</v>
      </c>
      <c r="J650" s="5">
        <v>33620</v>
      </c>
      <c r="K650" s="5">
        <v>148830</v>
      </c>
      <c r="L650" s="5">
        <v>102933</v>
      </c>
      <c r="M650" s="5">
        <v>9726</v>
      </c>
      <c r="N650" s="5">
        <v>0</v>
      </c>
      <c r="O650" s="5">
        <v>27167</v>
      </c>
      <c r="P650" s="5">
        <v>9004</v>
      </c>
      <c r="Q650">
        <v>7</v>
      </c>
      <c r="R650" t="s">
        <v>41</v>
      </c>
    </row>
    <row r="651" spans="1:18">
      <c r="A651" t="s">
        <v>710</v>
      </c>
      <c r="B651" s="4">
        <v>46222</v>
      </c>
      <c r="C651" t="s">
        <v>541</v>
      </c>
      <c r="D651" t="s">
        <v>37</v>
      </c>
      <c r="E651" t="s">
        <v>45</v>
      </c>
      <c r="F651" t="s">
        <v>46</v>
      </c>
      <c r="G651" t="s">
        <v>40</v>
      </c>
      <c r="H651">
        <v>6</v>
      </c>
      <c r="I651" s="5">
        <v>400587</v>
      </c>
      <c r="J651" s="5">
        <v>72855</v>
      </c>
      <c r="K651" s="5">
        <v>327732</v>
      </c>
      <c r="L651" s="5">
        <v>212642</v>
      </c>
      <c r="M651" s="5">
        <v>23208</v>
      </c>
      <c r="N651" s="5">
        <v>0</v>
      </c>
      <c r="O651" s="5">
        <v>76450</v>
      </c>
      <c r="P651" s="5">
        <v>15432</v>
      </c>
      <c r="Q651">
        <v>6</v>
      </c>
      <c r="R651" t="s">
        <v>41</v>
      </c>
    </row>
    <row r="652" spans="1:18">
      <c r="A652" t="s">
        <v>711</v>
      </c>
      <c r="B652" s="4">
        <v>46237</v>
      </c>
      <c r="C652" t="s">
        <v>541</v>
      </c>
      <c r="D652" t="s">
        <v>37</v>
      </c>
      <c r="E652" t="s">
        <v>38</v>
      </c>
      <c r="F652" t="s">
        <v>39</v>
      </c>
      <c r="G652" t="s">
        <v>40</v>
      </c>
      <c r="H652">
        <v>2</v>
      </c>
      <c r="I652" s="5">
        <v>466534</v>
      </c>
      <c r="J652" s="5">
        <v>60099</v>
      </c>
      <c r="K652" s="5">
        <v>406435</v>
      </c>
      <c r="L652" s="5">
        <v>270503</v>
      </c>
      <c r="M652" s="5">
        <v>24199</v>
      </c>
      <c r="N652" s="5">
        <v>14620</v>
      </c>
      <c r="O652" s="5">
        <v>86179</v>
      </c>
      <c r="P652" s="5">
        <v>10934</v>
      </c>
      <c r="Q652">
        <v>4</v>
      </c>
      <c r="R652" t="s">
        <v>53</v>
      </c>
    </row>
    <row r="653" spans="1:18">
      <c r="A653" t="s">
        <v>712</v>
      </c>
      <c r="B653" s="4">
        <v>46221</v>
      </c>
      <c r="C653" t="s">
        <v>541</v>
      </c>
      <c r="D653" t="s">
        <v>37</v>
      </c>
      <c r="E653" t="s">
        <v>55</v>
      </c>
      <c r="F653" t="s">
        <v>61</v>
      </c>
      <c r="G653" t="s">
        <v>43</v>
      </c>
      <c r="H653">
        <v>2</v>
      </c>
      <c r="I653" s="5">
        <v>470197</v>
      </c>
      <c r="J653" s="5">
        <v>88045</v>
      </c>
      <c r="K653" s="5">
        <v>382152</v>
      </c>
      <c r="L653" s="5">
        <v>258178</v>
      </c>
      <c r="M653" s="5">
        <v>23502</v>
      </c>
      <c r="N653" s="5">
        <v>0</v>
      </c>
      <c r="O653" s="5">
        <v>85279</v>
      </c>
      <c r="P653" s="5">
        <v>15193</v>
      </c>
      <c r="Q653">
        <v>7</v>
      </c>
      <c r="R653" t="s">
        <v>41</v>
      </c>
    </row>
    <row r="654" spans="1:18">
      <c r="A654" t="s">
        <v>713</v>
      </c>
      <c r="B654" s="4">
        <v>46283</v>
      </c>
      <c r="C654" t="s">
        <v>541</v>
      </c>
      <c r="D654" t="s">
        <v>37</v>
      </c>
      <c r="E654" t="s">
        <v>55</v>
      </c>
      <c r="F654" t="s">
        <v>61</v>
      </c>
      <c r="G654" t="s">
        <v>40</v>
      </c>
      <c r="H654">
        <v>2</v>
      </c>
      <c r="I654" s="5">
        <v>208525</v>
      </c>
      <c r="J654" s="5">
        <v>35700</v>
      </c>
      <c r="K654" s="5">
        <v>172825</v>
      </c>
      <c r="L654" s="5">
        <v>123103</v>
      </c>
      <c r="M654" s="5">
        <v>14133</v>
      </c>
      <c r="N654" s="5">
        <v>0</v>
      </c>
      <c r="O654" s="5">
        <v>26280</v>
      </c>
      <c r="P654" s="5">
        <v>9309</v>
      </c>
      <c r="Q654">
        <v>7</v>
      </c>
      <c r="R654" t="s">
        <v>41</v>
      </c>
    </row>
    <row r="655" spans="1:18">
      <c r="A655" t="s">
        <v>714</v>
      </c>
      <c r="B655" s="4">
        <v>46244</v>
      </c>
      <c r="C655" t="s">
        <v>541</v>
      </c>
      <c r="D655" t="s">
        <v>37</v>
      </c>
      <c r="E655" t="s">
        <v>55</v>
      </c>
      <c r="F655" t="s">
        <v>51</v>
      </c>
      <c r="G655" t="s">
        <v>40</v>
      </c>
      <c r="H655">
        <v>5</v>
      </c>
      <c r="I655" s="5">
        <v>398784</v>
      </c>
      <c r="J655" s="5">
        <v>77254</v>
      </c>
      <c r="K655" s="5">
        <v>321530</v>
      </c>
      <c r="L655" s="5">
        <v>219985</v>
      </c>
      <c r="M655" s="5">
        <v>25657</v>
      </c>
      <c r="N655" s="5">
        <v>0</v>
      </c>
      <c r="O655" s="5">
        <v>69945</v>
      </c>
      <c r="P655" s="5">
        <v>5943</v>
      </c>
      <c r="Q655">
        <v>5</v>
      </c>
      <c r="R655" t="s">
        <v>41</v>
      </c>
    </row>
    <row r="656" spans="1:18">
      <c r="A656" t="s">
        <v>715</v>
      </c>
      <c r="B656" s="4">
        <v>46284</v>
      </c>
      <c r="C656" t="s">
        <v>541</v>
      </c>
      <c r="D656" t="s">
        <v>37</v>
      </c>
      <c r="E656" t="s">
        <v>45</v>
      </c>
      <c r="F656" t="s">
        <v>51</v>
      </c>
      <c r="G656" t="s">
        <v>43</v>
      </c>
      <c r="H656">
        <v>2</v>
      </c>
      <c r="I656" s="5">
        <v>439754</v>
      </c>
      <c r="J656" s="5">
        <v>53374</v>
      </c>
      <c r="K656" s="5">
        <v>386380</v>
      </c>
      <c r="L656" s="5">
        <v>266246</v>
      </c>
      <c r="M656" s="5">
        <v>24851</v>
      </c>
      <c r="N656" s="5">
        <v>0</v>
      </c>
      <c r="O656" s="5">
        <v>85769</v>
      </c>
      <c r="P656" s="5">
        <v>9514</v>
      </c>
      <c r="Q656">
        <v>4</v>
      </c>
      <c r="R656" t="s">
        <v>41</v>
      </c>
    </row>
    <row r="657" spans="1:18">
      <c r="A657" t="s">
        <v>716</v>
      </c>
      <c r="B657" s="4">
        <v>46286</v>
      </c>
      <c r="C657" t="s">
        <v>541</v>
      </c>
      <c r="D657" t="s">
        <v>37</v>
      </c>
      <c r="E657" t="s">
        <v>45</v>
      </c>
      <c r="F657" t="s">
        <v>46</v>
      </c>
      <c r="G657" t="s">
        <v>43</v>
      </c>
      <c r="H657">
        <v>2</v>
      </c>
      <c r="I657" s="5">
        <v>196905</v>
      </c>
      <c r="J657" s="5">
        <v>33726</v>
      </c>
      <c r="K657" s="5">
        <v>163179</v>
      </c>
      <c r="L657" s="5">
        <v>114764</v>
      </c>
      <c r="M657" s="5">
        <v>12924</v>
      </c>
      <c r="N657" s="5">
        <v>6955</v>
      </c>
      <c r="O657" s="5">
        <v>18134</v>
      </c>
      <c r="P657" s="5">
        <v>10402</v>
      </c>
      <c r="Q657">
        <v>3</v>
      </c>
      <c r="R657" t="s">
        <v>53</v>
      </c>
    </row>
    <row r="658" spans="1:18">
      <c r="A658" t="s">
        <v>717</v>
      </c>
      <c r="B658" s="4">
        <v>46238</v>
      </c>
      <c r="C658" t="s">
        <v>541</v>
      </c>
      <c r="D658" t="s">
        <v>37</v>
      </c>
      <c r="E658" t="s">
        <v>55</v>
      </c>
      <c r="F658" t="s">
        <v>49</v>
      </c>
      <c r="G658" t="s">
        <v>40</v>
      </c>
      <c r="H658">
        <v>2</v>
      </c>
      <c r="I658" s="5">
        <v>456659</v>
      </c>
      <c r="J658" s="5">
        <v>75453</v>
      </c>
      <c r="K658" s="5">
        <v>381206</v>
      </c>
      <c r="L658" s="5">
        <v>278720</v>
      </c>
      <c r="M658" s="5">
        <v>33268</v>
      </c>
      <c r="N658" s="5">
        <v>0</v>
      </c>
      <c r="O658" s="5">
        <v>63390</v>
      </c>
      <c r="P658" s="5">
        <v>5828</v>
      </c>
      <c r="Q658">
        <v>7</v>
      </c>
      <c r="R658" t="s">
        <v>41</v>
      </c>
    </row>
    <row r="659" spans="1:18">
      <c r="A659" t="s">
        <v>718</v>
      </c>
      <c r="B659" s="4">
        <v>46252</v>
      </c>
      <c r="C659" t="s">
        <v>541</v>
      </c>
      <c r="D659" t="s">
        <v>37</v>
      </c>
      <c r="E659" t="s">
        <v>38</v>
      </c>
      <c r="F659" t="s">
        <v>39</v>
      </c>
      <c r="G659" t="s">
        <v>43</v>
      </c>
      <c r="H659">
        <v>5</v>
      </c>
      <c r="I659" s="5">
        <v>217913</v>
      </c>
      <c r="J659" s="5">
        <v>40202</v>
      </c>
      <c r="K659" s="5">
        <v>177711</v>
      </c>
      <c r="L659" s="5">
        <v>127575</v>
      </c>
      <c r="M659" s="5">
        <v>12768</v>
      </c>
      <c r="N659" s="5">
        <v>0</v>
      </c>
      <c r="O659" s="5">
        <v>28032</v>
      </c>
      <c r="P659" s="5">
        <v>9336</v>
      </c>
      <c r="Q659">
        <v>7</v>
      </c>
      <c r="R659" t="s">
        <v>41</v>
      </c>
    </row>
    <row r="660" spans="1:18">
      <c r="A660" t="s">
        <v>719</v>
      </c>
      <c r="B660" s="4">
        <v>46209</v>
      </c>
      <c r="C660" t="s">
        <v>541</v>
      </c>
      <c r="D660" t="s">
        <v>37</v>
      </c>
      <c r="E660" t="s">
        <v>55</v>
      </c>
      <c r="F660" t="s">
        <v>49</v>
      </c>
      <c r="G660" t="s">
        <v>43</v>
      </c>
      <c r="H660">
        <v>4</v>
      </c>
      <c r="I660" s="5">
        <v>411639</v>
      </c>
      <c r="J660" s="5">
        <v>94811</v>
      </c>
      <c r="K660" s="5">
        <v>316828</v>
      </c>
      <c r="L660" s="5">
        <v>215115</v>
      </c>
      <c r="M660" s="5">
        <v>24585</v>
      </c>
      <c r="N660" s="5">
        <v>0</v>
      </c>
      <c r="O660" s="5">
        <v>64757</v>
      </c>
      <c r="P660" s="5">
        <v>12371</v>
      </c>
      <c r="Q660">
        <v>7</v>
      </c>
      <c r="R660" t="s">
        <v>41</v>
      </c>
    </row>
    <row r="661" spans="1:18">
      <c r="A661" t="s">
        <v>720</v>
      </c>
      <c r="B661" s="4">
        <v>46207</v>
      </c>
      <c r="C661" t="s">
        <v>541</v>
      </c>
      <c r="D661" t="s">
        <v>37</v>
      </c>
      <c r="E661" t="s">
        <v>38</v>
      </c>
      <c r="F661" t="s">
        <v>46</v>
      </c>
      <c r="G661" t="s">
        <v>40</v>
      </c>
      <c r="H661">
        <v>3</v>
      </c>
      <c r="I661" s="5">
        <v>377321</v>
      </c>
      <c r="J661" s="5">
        <v>54517</v>
      </c>
      <c r="K661" s="5">
        <v>322804</v>
      </c>
      <c r="L661" s="5">
        <v>220926</v>
      </c>
      <c r="M661" s="5">
        <v>24755</v>
      </c>
      <c r="N661" s="5">
        <v>0</v>
      </c>
      <c r="O661" s="5">
        <v>64141</v>
      </c>
      <c r="P661" s="5">
        <v>12982</v>
      </c>
      <c r="Q661">
        <v>6</v>
      </c>
      <c r="R661" t="s">
        <v>41</v>
      </c>
    </row>
    <row r="662" spans="1:18">
      <c r="A662" t="s">
        <v>721</v>
      </c>
      <c r="B662" s="4">
        <v>46286</v>
      </c>
      <c r="C662" t="s">
        <v>541</v>
      </c>
      <c r="D662" t="s">
        <v>37</v>
      </c>
      <c r="E662" t="s">
        <v>59</v>
      </c>
      <c r="F662" t="s">
        <v>39</v>
      </c>
      <c r="G662" t="s">
        <v>40</v>
      </c>
      <c r="H662">
        <v>1</v>
      </c>
      <c r="I662" s="5">
        <v>193928</v>
      </c>
      <c r="J662" s="5">
        <v>30994</v>
      </c>
      <c r="K662" s="5">
        <v>162934</v>
      </c>
      <c r="L662" s="5">
        <v>104146</v>
      </c>
      <c r="M662" s="5">
        <v>14196</v>
      </c>
      <c r="N662" s="5">
        <v>0</v>
      </c>
      <c r="O662" s="5">
        <v>33162</v>
      </c>
      <c r="P662" s="5">
        <v>11430</v>
      </c>
      <c r="Q662">
        <v>5</v>
      </c>
      <c r="R662" t="s">
        <v>41</v>
      </c>
    </row>
    <row r="663" spans="1:18">
      <c r="A663" t="s">
        <v>722</v>
      </c>
      <c r="B663" s="4">
        <v>46236</v>
      </c>
      <c r="C663" t="s">
        <v>541</v>
      </c>
      <c r="D663" t="s">
        <v>37</v>
      </c>
      <c r="E663" t="s">
        <v>45</v>
      </c>
      <c r="F663" t="s">
        <v>39</v>
      </c>
      <c r="G663" t="s">
        <v>40</v>
      </c>
      <c r="H663">
        <v>6</v>
      </c>
      <c r="I663" s="5">
        <v>255512</v>
      </c>
      <c r="J663" s="5">
        <v>52205</v>
      </c>
      <c r="K663" s="5">
        <v>203307</v>
      </c>
      <c r="L663" s="5">
        <v>138233</v>
      </c>
      <c r="M663" s="5">
        <v>13906</v>
      </c>
      <c r="N663" s="5">
        <v>0</v>
      </c>
      <c r="O663" s="5">
        <v>37445</v>
      </c>
      <c r="P663" s="5">
        <v>13723</v>
      </c>
      <c r="Q663">
        <v>7</v>
      </c>
      <c r="R663" t="s">
        <v>41</v>
      </c>
    </row>
    <row r="664" spans="1:18">
      <c r="A664" t="s">
        <v>723</v>
      </c>
      <c r="B664" s="4">
        <v>46237</v>
      </c>
      <c r="C664" t="s">
        <v>541</v>
      </c>
      <c r="D664" t="s">
        <v>37</v>
      </c>
      <c r="E664" t="s">
        <v>59</v>
      </c>
      <c r="F664" t="s">
        <v>39</v>
      </c>
      <c r="G664" t="s">
        <v>43</v>
      </c>
      <c r="H664">
        <v>3</v>
      </c>
      <c r="I664" s="5">
        <v>290113</v>
      </c>
      <c r="J664" s="5">
        <v>47830</v>
      </c>
      <c r="K664" s="5">
        <v>242283</v>
      </c>
      <c r="L664" s="5">
        <v>178189</v>
      </c>
      <c r="M664" s="5">
        <v>20867</v>
      </c>
      <c r="N664" s="5">
        <v>0</v>
      </c>
      <c r="O664" s="5">
        <v>36348</v>
      </c>
      <c r="P664" s="5">
        <v>6879</v>
      </c>
      <c r="Q664">
        <v>5</v>
      </c>
      <c r="R664" t="s">
        <v>41</v>
      </c>
    </row>
    <row r="665" spans="1:18">
      <c r="A665" t="s">
        <v>724</v>
      </c>
      <c r="B665" s="4">
        <v>46264</v>
      </c>
      <c r="C665" t="s">
        <v>541</v>
      </c>
      <c r="D665" t="s">
        <v>37</v>
      </c>
      <c r="E665" t="s">
        <v>38</v>
      </c>
      <c r="F665" t="s">
        <v>46</v>
      </c>
      <c r="G665" t="s">
        <v>40</v>
      </c>
      <c r="H665">
        <v>2</v>
      </c>
      <c r="I665" s="5">
        <v>475654</v>
      </c>
      <c r="J665" s="5">
        <v>89117</v>
      </c>
      <c r="K665" s="5">
        <v>386537</v>
      </c>
      <c r="L665" s="5">
        <v>270515</v>
      </c>
      <c r="M665" s="5">
        <v>31410</v>
      </c>
      <c r="N665" s="5">
        <v>0</v>
      </c>
      <c r="O665" s="5">
        <v>75616</v>
      </c>
      <c r="P665" s="5">
        <v>8996</v>
      </c>
      <c r="Q665">
        <v>4</v>
      </c>
      <c r="R665" t="s">
        <v>41</v>
      </c>
    </row>
    <row r="666" spans="1:18">
      <c r="A666" t="s">
        <v>725</v>
      </c>
      <c r="B666" s="4">
        <v>46263</v>
      </c>
      <c r="C666" t="s">
        <v>541</v>
      </c>
      <c r="D666" t="s">
        <v>37</v>
      </c>
      <c r="E666" t="s">
        <v>55</v>
      </c>
      <c r="F666" t="s">
        <v>39</v>
      </c>
      <c r="G666" t="s">
        <v>40</v>
      </c>
      <c r="H666">
        <v>3</v>
      </c>
      <c r="I666" s="5">
        <v>434695</v>
      </c>
      <c r="J666" s="5">
        <v>76504</v>
      </c>
      <c r="K666" s="5">
        <v>358191</v>
      </c>
      <c r="L666" s="5">
        <v>243251</v>
      </c>
      <c r="M666" s="5">
        <v>28966</v>
      </c>
      <c r="N666" s="5">
        <v>0</v>
      </c>
      <c r="O666" s="5">
        <v>74772</v>
      </c>
      <c r="P666" s="5">
        <v>11202</v>
      </c>
      <c r="Q666">
        <v>5</v>
      </c>
      <c r="R666" t="s">
        <v>41</v>
      </c>
    </row>
    <row r="667" spans="1:18">
      <c r="A667" t="s">
        <v>726</v>
      </c>
      <c r="B667" s="4">
        <v>46275</v>
      </c>
      <c r="C667" t="s">
        <v>541</v>
      </c>
      <c r="D667" t="s">
        <v>37</v>
      </c>
      <c r="E667" t="s">
        <v>59</v>
      </c>
      <c r="F667" t="s">
        <v>39</v>
      </c>
      <c r="G667" t="s">
        <v>40</v>
      </c>
      <c r="H667">
        <v>5</v>
      </c>
      <c r="I667" s="5">
        <v>326639</v>
      </c>
      <c r="J667" s="5">
        <v>65646</v>
      </c>
      <c r="K667" s="5">
        <v>260993</v>
      </c>
      <c r="L667" s="5">
        <v>190131</v>
      </c>
      <c r="M667" s="5">
        <v>19070</v>
      </c>
      <c r="N667" s="5">
        <v>0</v>
      </c>
      <c r="O667" s="5">
        <v>39411</v>
      </c>
      <c r="P667" s="5">
        <v>12381</v>
      </c>
      <c r="Q667">
        <v>4</v>
      </c>
      <c r="R667" t="s">
        <v>41</v>
      </c>
    </row>
    <row r="668" spans="1:18">
      <c r="A668" t="s">
        <v>727</v>
      </c>
      <c r="B668" s="4">
        <v>46249</v>
      </c>
      <c r="C668" t="s">
        <v>541</v>
      </c>
      <c r="D668" t="s">
        <v>37</v>
      </c>
      <c r="E668" t="s">
        <v>45</v>
      </c>
      <c r="F668" t="s">
        <v>51</v>
      </c>
      <c r="G668" t="s">
        <v>43</v>
      </c>
      <c r="H668">
        <v>4</v>
      </c>
      <c r="I668" s="5">
        <v>224806</v>
      </c>
      <c r="J668" s="5">
        <v>45179</v>
      </c>
      <c r="K668" s="5">
        <v>179627</v>
      </c>
      <c r="L668" s="5">
        <v>124122</v>
      </c>
      <c r="M668" s="5">
        <v>13302</v>
      </c>
      <c r="N668" s="5">
        <v>0</v>
      </c>
      <c r="O668" s="5">
        <v>28870</v>
      </c>
      <c r="P668" s="5">
        <v>13333</v>
      </c>
      <c r="Q668">
        <v>5</v>
      </c>
      <c r="R668" t="s">
        <v>41</v>
      </c>
    </row>
    <row r="669" spans="1:18">
      <c r="A669" t="s">
        <v>728</v>
      </c>
      <c r="B669" s="4">
        <v>46206</v>
      </c>
      <c r="C669" t="s">
        <v>541</v>
      </c>
      <c r="D669" t="s">
        <v>37</v>
      </c>
      <c r="E669" t="s">
        <v>59</v>
      </c>
      <c r="F669" t="s">
        <v>51</v>
      </c>
      <c r="G669" t="s">
        <v>40</v>
      </c>
      <c r="H669">
        <v>3</v>
      </c>
      <c r="I669" s="5">
        <v>410820</v>
      </c>
      <c r="J669" s="5">
        <v>68208</v>
      </c>
      <c r="K669" s="5">
        <v>342612</v>
      </c>
      <c r="L669" s="5">
        <v>246864</v>
      </c>
      <c r="M669" s="5">
        <v>26824</v>
      </c>
      <c r="N669" s="5">
        <v>0</v>
      </c>
      <c r="O669" s="5">
        <v>55431</v>
      </c>
      <c r="P669" s="5">
        <v>13493</v>
      </c>
      <c r="Q669">
        <v>4</v>
      </c>
      <c r="R669" t="s">
        <v>41</v>
      </c>
    </row>
    <row r="670" spans="1:18">
      <c r="A670" t="s">
        <v>729</v>
      </c>
      <c r="B670" s="4">
        <v>46252</v>
      </c>
      <c r="C670" t="s">
        <v>541</v>
      </c>
      <c r="D670" t="s">
        <v>37</v>
      </c>
      <c r="E670" t="s">
        <v>38</v>
      </c>
      <c r="F670" t="s">
        <v>46</v>
      </c>
      <c r="G670" t="s">
        <v>40</v>
      </c>
      <c r="H670">
        <v>5</v>
      </c>
      <c r="I670" s="5">
        <v>345049</v>
      </c>
      <c r="J670" s="5">
        <v>42426</v>
      </c>
      <c r="K670" s="5">
        <v>302623</v>
      </c>
      <c r="L670" s="5">
        <v>219409</v>
      </c>
      <c r="M670" s="5">
        <v>23878</v>
      </c>
      <c r="N670" s="5">
        <v>0</v>
      </c>
      <c r="O670" s="5">
        <v>44562</v>
      </c>
      <c r="P670" s="5">
        <v>14774</v>
      </c>
      <c r="Q670">
        <v>5</v>
      </c>
      <c r="R670" t="s">
        <v>41</v>
      </c>
    </row>
    <row r="671" spans="1:18">
      <c r="A671" t="s">
        <v>730</v>
      </c>
      <c r="B671" s="4">
        <v>46242</v>
      </c>
      <c r="C671" t="s">
        <v>541</v>
      </c>
      <c r="D671" t="s">
        <v>37</v>
      </c>
      <c r="E671" t="s">
        <v>59</v>
      </c>
      <c r="F671" t="s">
        <v>51</v>
      </c>
      <c r="G671" t="s">
        <v>40</v>
      </c>
      <c r="H671">
        <v>6</v>
      </c>
      <c r="I671" s="5">
        <v>279666</v>
      </c>
      <c r="J671" s="5">
        <v>41942</v>
      </c>
      <c r="K671" s="5">
        <v>237724</v>
      </c>
      <c r="L671" s="5">
        <v>159491</v>
      </c>
      <c r="M671" s="5">
        <v>22134</v>
      </c>
      <c r="N671" s="5">
        <v>0</v>
      </c>
      <c r="O671" s="5">
        <v>43139</v>
      </c>
      <c r="P671" s="5">
        <v>12960</v>
      </c>
      <c r="Q671">
        <v>7</v>
      </c>
      <c r="R671" t="s">
        <v>41</v>
      </c>
    </row>
    <row r="672" spans="1:18">
      <c r="A672" t="s">
        <v>731</v>
      </c>
      <c r="B672" s="4">
        <v>46253</v>
      </c>
      <c r="C672" t="s">
        <v>541</v>
      </c>
      <c r="D672" t="s">
        <v>37</v>
      </c>
      <c r="E672" t="s">
        <v>45</v>
      </c>
      <c r="F672" t="s">
        <v>51</v>
      </c>
      <c r="G672" t="s">
        <v>40</v>
      </c>
      <c r="H672">
        <v>3</v>
      </c>
      <c r="I672" s="5">
        <v>511565</v>
      </c>
      <c r="J672" s="5">
        <v>87761</v>
      </c>
      <c r="K672" s="5">
        <v>423804</v>
      </c>
      <c r="L672" s="5">
        <v>304448</v>
      </c>
      <c r="M672" s="5">
        <v>32637</v>
      </c>
      <c r="N672" s="5">
        <v>13449</v>
      </c>
      <c r="O672" s="5">
        <v>59767</v>
      </c>
      <c r="P672" s="5">
        <v>13503</v>
      </c>
      <c r="Q672">
        <v>6</v>
      </c>
      <c r="R672" t="s">
        <v>53</v>
      </c>
    </row>
    <row r="673" spans="1:18">
      <c r="A673" t="s">
        <v>732</v>
      </c>
      <c r="B673" s="4">
        <v>46256</v>
      </c>
      <c r="C673" t="s">
        <v>541</v>
      </c>
      <c r="D673" t="s">
        <v>37</v>
      </c>
      <c r="E673" t="s">
        <v>55</v>
      </c>
      <c r="F673" t="s">
        <v>51</v>
      </c>
      <c r="G673" t="s">
        <v>40</v>
      </c>
      <c r="H673">
        <v>2</v>
      </c>
      <c r="I673" s="5">
        <v>249489</v>
      </c>
      <c r="J673" s="5">
        <v>43118</v>
      </c>
      <c r="K673" s="5">
        <v>206371</v>
      </c>
      <c r="L673" s="5">
        <v>132090</v>
      </c>
      <c r="M673" s="5">
        <v>15565</v>
      </c>
      <c r="N673" s="5">
        <v>12413</v>
      </c>
      <c r="O673" s="5">
        <v>32717</v>
      </c>
      <c r="P673" s="5">
        <v>13586</v>
      </c>
      <c r="Q673">
        <v>5</v>
      </c>
      <c r="R673" t="s">
        <v>53</v>
      </c>
    </row>
    <row r="674" spans="1:18">
      <c r="A674" t="s">
        <v>733</v>
      </c>
      <c r="B674" s="4">
        <v>46220</v>
      </c>
      <c r="C674" t="s">
        <v>541</v>
      </c>
      <c r="D674" t="s">
        <v>37</v>
      </c>
      <c r="E674" t="s">
        <v>38</v>
      </c>
      <c r="F674" t="s">
        <v>39</v>
      </c>
      <c r="G674" t="s">
        <v>43</v>
      </c>
      <c r="H674">
        <v>6</v>
      </c>
      <c r="I674" s="5">
        <v>183802</v>
      </c>
      <c r="J674" s="5">
        <v>25938</v>
      </c>
      <c r="K674" s="5">
        <v>157864</v>
      </c>
      <c r="L674" s="5">
        <v>102258</v>
      </c>
      <c r="M674" s="5">
        <v>14634</v>
      </c>
      <c r="N674" s="5">
        <v>0</v>
      </c>
      <c r="O674" s="5">
        <v>32132</v>
      </c>
      <c r="P674" s="5">
        <v>8840</v>
      </c>
      <c r="Q674">
        <v>5</v>
      </c>
      <c r="R674" t="s">
        <v>41</v>
      </c>
    </row>
    <row r="675" spans="1:18">
      <c r="A675" t="s">
        <v>734</v>
      </c>
      <c r="B675" s="4">
        <v>46295</v>
      </c>
      <c r="C675" t="s">
        <v>541</v>
      </c>
      <c r="D675" t="s">
        <v>37</v>
      </c>
      <c r="E675" t="s">
        <v>55</v>
      </c>
      <c r="F675" t="s">
        <v>39</v>
      </c>
      <c r="G675" t="s">
        <v>40</v>
      </c>
      <c r="H675">
        <v>1</v>
      </c>
      <c r="I675" s="5">
        <v>234630</v>
      </c>
      <c r="J675" s="5">
        <v>39770</v>
      </c>
      <c r="K675" s="5">
        <v>194860</v>
      </c>
      <c r="L675" s="5">
        <v>131567</v>
      </c>
      <c r="M675" s="5">
        <v>13019</v>
      </c>
      <c r="N675" s="5">
        <v>0</v>
      </c>
      <c r="O675" s="5">
        <v>35211</v>
      </c>
      <c r="P675" s="5">
        <v>15063</v>
      </c>
      <c r="Q675">
        <v>5</v>
      </c>
      <c r="R675" t="s">
        <v>41</v>
      </c>
    </row>
    <row r="676" spans="1:18">
      <c r="A676" t="s">
        <v>735</v>
      </c>
      <c r="B676" s="4">
        <v>46246</v>
      </c>
      <c r="C676" t="s">
        <v>541</v>
      </c>
      <c r="D676" t="s">
        <v>37</v>
      </c>
      <c r="E676" t="s">
        <v>55</v>
      </c>
      <c r="F676" t="s">
        <v>46</v>
      </c>
      <c r="G676" t="s">
        <v>43</v>
      </c>
      <c r="H676">
        <v>5</v>
      </c>
      <c r="I676" s="5">
        <v>208387</v>
      </c>
      <c r="J676" s="5">
        <v>45421</v>
      </c>
      <c r="K676" s="5">
        <v>162966</v>
      </c>
      <c r="L676" s="5">
        <v>114755</v>
      </c>
      <c r="M676" s="5">
        <v>12810</v>
      </c>
      <c r="N676" s="5">
        <v>0</v>
      </c>
      <c r="O676" s="5">
        <v>24588</v>
      </c>
      <c r="P676" s="5">
        <v>10813</v>
      </c>
      <c r="Q676">
        <v>6</v>
      </c>
      <c r="R676" t="s">
        <v>41</v>
      </c>
    </row>
    <row r="677" spans="1:18">
      <c r="A677" t="s">
        <v>736</v>
      </c>
      <c r="B677" s="4">
        <v>46295</v>
      </c>
      <c r="C677" t="s">
        <v>541</v>
      </c>
      <c r="D677" t="s">
        <v>37</v>
      </c>
      <c r="E677" t="s">
        <v>45</v>
      </c>
      <c r="F677" t="s">
        <v>46</v>
      </c>
      <c r="G677" t="s">
        <v>40</v>
      </c>
      <c r="H677">
        <v>4</v>
      </c>
      <c r="I677" s="5">
        <v>278111</v>
      </c>
      <c r="J677" s="5">
        <v>54187</v>
      </c>
      <c r="K677" s="5">
        <v>223924</v>
      </c>
      <c r="L677" s="5">
        <v>157952</v>
      </c>
      <c r="M677" s="5">
        <v>20703</v>
      </c>
      <c r="N677" s="5">
        <v>0</v>
      </c>
      <c r="O677" s="5">
        <v>35325</v>
      </c>
      <c r="P677" s="5">
        <v>9944</v>
      </c>
      <c r="Q677">
        <v>6</v>
      </c>
      <c r="R677" t="s">
        <v>41</v>
      </c>
    </row>
    <row r="678" spans="1:18">
      <c r="A678" t="s">
        <v>737</v>
      </c>
      <c r="B678" s="4">
        <v>46227</v>
      </c>
      <c r="C678" t="s">
        <v>541</v>
      </c>
      <c r="D678" t="s">
        <v>37</v>
      </c>
      <c r="E678" t="s">
        <v>59</v>
      </c>
      <c r="F678" t="s">
        <v>46</v>
      </c>
      <c r="G678" t="s">
        <v>40</v>
      </c>
      <c r="H678">
        <v>2</v>
      </c>
      <c r="I678" s="5">
        <v>443963</v>
      </c>
      <c r="J678" s="5">
        <v>80095</v>
      </c>
      <c r="K678" s="5">
        <v>363868</v>
      </c>
      <c r="L678" s="5">
        <v>266986</v>
      </c>
      <c r="M678" s="5">
        <v>28027</v>
      </c>
      <c r="N678" s="5">
        <v>0</v>
      </c>
      <c r="O678" s="5">
        <v>62881</v>
      </c>
      <c r="P678" s="5">
        <v>5974</v>
      </c>
      <c r="Q678">
        <v>9</v>
      </c>
      <c r="R678" t="s">
        <v>41</v>
      </c>
    </row>
    <row r="679" spans="1:18">
      <c r="A679" t="s">
        <v>738</v>
      </c>
      <c r="B679" s="4">
        <v>46212</v>
      </c>
      <c r="C679" t="s">
        <v>541</v>
      </c>
      <c r="D679" t="s">
        <v>37</v>
      </c>
      <c r="E679" t="s">
        <v>38</v>
      </c>
      <c r="F679" t="s">
        <v>46</v>
      </c>
      <c r="G679" t="s">
        <v>43</v>
      </c>
      <c r="H679">
        <v>5</v>
      </c>
      <c r="I679" s="5">
        <v>240253</v>
      </c>
      <c r="J679" s="5">
        <v>46955</v>
      </c>
      <c r="K679" s="5">
        <v>193298</v>
      </c>
      <c r="L679" s="5">
        <v>139654</v>
      </c>
      <c r="M679" s="5">
        <v>14989</v>
      </c>
      <c r="N679" s="5">
        <v>0</v>
      </c>
      <c r="O679" s="5">
        <v>29251</v>
      </c>
      <c r="P679" s="5">
        <v>9404</v>
      </c>
      <c r="Q679">
        <v>5</v>
      </c>
      <c r="R679" t="s">
        <v>41</v>
      </c>
    </row>
    <row r="680" spans="1:18">
      <c r="A680" t="s">
        <v>739</v>
      </c>
      <c r="B680" s="4">
        <v>46256</v>
      </c>
      <c r="C680" t="s">
        <v>541</v>
      </c>
      <c r="D680" t="s">
        <v>37</v>
      </c>
      <c r="E680" t="s">
        <v>55</v>
      </c>
      <c r="F680" t="s">
        <v>51</v>
      </c>
      <c r="G680" t="s">
        <v>43</v>
      </c>
      <c r="H680">
        <v>2</v>
      </c>
      <c r="I680" s="5">
        <v>316337</v>
      </c>
      <c r="J680" s="5">
        <v>64626</v>
      </c>
      <c r="K680" s="5">
        <v>251711</v>
      </c>
      <c r="L680" s="5">
        <v>180600</v>
      </c>
      <c r="M680" s="5">
        <v>19358</v>
      </c>
      <c r="N680" s="5">
        <v>0</v>
      </c>
      <c r="O680" s="5">
        <v>41491</v>
      </c>
      <c r="P680" s="5">
        <v>10262</v>
      </c>
      <c r="Q680">
        <v>7</v>
      </c>
      <c r="R680" t="s">
        <v>41</v>
      </c>
    </row>
    <row r="681" spans="1:18">
      <c r="A681" t="s">
        <v>740</v>
      </c>
      <c r="B681" s="4">
        <v>46252</v>
      </c>
      <c r="C681" t="s">
        <v>541</v>
      </c>
      <c r="D681" t="s">
        <v>37</v>
      </c>
      <c r="E681" t="s">
        <v>45</v>
      </c>
      <c r="F681" t="s">
        <v>46</v>
      </c>
      <c r="G681" t="s">
        <v>40</v>
      </c>
      <c r="H681">
        <v>4</v>
      </c>
      <c r="I681" s="5">
        <v>224011</v>
      </c>
      <c r="J681" s="5">
        <v>31596</v>
      </c>
      <c r="K681" s="5">
        <v>192415</v>
      </c>
      <c r="L681" s="5">
        <v>124700</v>
      </c>
      <c r="M681" s="5">
        <v>15942</v>
      </c>
      <c r="N681" s="5">
        <v>0</v>
      </c>
      <c r="O681" s="5">
        <v>40982</v>
      </c>
      <c r="P681" s="5">
        <v>10791</v>
      </c>
      <c r="Q681">
        <v>6</v>
      </c>
      <c r="R681" t="s">
        <v>41</v>
      </c>
    </row>
    <row r="682" spans="1:18">
      <c r="A682" t="s">
        <v>741</v>
      </c>
      <c r="B682" s="4">
        <v>46266</v>
      </c>
      <c r="C682" t="s">
        <v>541</v>
      </c>
      <c r="D682" t="s">
        <v>231</v>
      </c>
      <c r="E682" t="s">
        <v>243</v>
      </c>
      <c r="F682" t="s">
        <v>49</v>
      </c>
      <c r="G682" t="s">
        <v>40</v>
      </c>
      <c r="H682">
        <v>3</v>
      </c>
      <c r="I682" s="5">
        <v>182400</v>
      </c>
      <c r="J682" s="5">
        <v>51942</v>
      </c>
      <c r="K682" s="5">
        <v>130458</v>
      </c>
      <c r="L682" s="5">
        <v>83103</v>
      </c>
      <c r="M682" s="5">
        <v>9701</v>
      </c>
      <c r="N682" s="5">
        <v>0</v>
      </c>
      <c r="O682" s="5">
        <v>18561</v>
      </c>
      <c r="P682" s="5">
        <v>19093</v>
      </c>
      <c r="Q682">
        <v>1</v>
      </c>
      <c r="R682" t="s">
        <v>41</v>
      </c>
    </row>
    <row r="683" spans="1:18">
      <c r="A683" t="s">
        <v>742</v>
      </c>
      <c r="B683" s="4">
        <v>46216</v>
      </c>
      <c r="C683" t="s">
        <v>541</v>
      </c>
      <c r="D683" t="s">
        <v>231</v>
      </c>
      <c r="E683" t="s">
        <v>243</v>
      </c>
      <c r="F683" t="s">
        <v>39</v>
      </c>
      <c r="G683" t="s">
        <v>40</v>
      </c>
      <c r="H683">
        <v>6</v>
      </c>
      <c r="I683" s="5">
        <v>213500</v>
      </c>
      <c r="J683" s="5">
        <v>31412</v>
      </c>
      <c r="K683" s="5">
        <v>182088</v>
      </c>
      <c r="L683" s="5">
        <v>126804</v>
      </c>
      <c r="M683" s="5">
        <v>16515</v>
      </c>
      <c r="N683" s="5">
        <v>0</v>
      </c>
      <c r="O683" s="5">
        <v>22704</v>
      </c>
      <c r="P683" s="5">
        <v>16065</v>
      </c>
      <c r="Q683">
        <v>6</v>
      </c>
      <c r="R683" t="s">
        <v>41</v>
      </c>
    </row>
    <row r="684" spans="1:18">
      <c r="A684" t="s">
        <v>743</v>
      </c>
      <c r="B684" s="4">
        <v>46220</v>
      </c>
      <c r="C684" t="s">
        <v>541</v>
      </c>
      <c r="D684" t="s">
        <v>231</v>
      </c>
      <c r="E684" t="s">
        <v>243</v>
      </c>
      <c r="F684" t="s">
        <v>61</v>
      </c>
      <c r="G684" t="s">
        <v>43</v>
      </c>
      <c r="H684">
        <v>6</v>
      </c>
      <c r="I684" s="5">
        <v>389204</v>
      </c>
      <c r="J684" s="5">
        <v>95891</v>
      </c>
      <c r="K684" s="5">
        <v>293313</v>
      </c>
      <c r="L684" s="5">
        <v>206292</v>
      </c>
      <c r="M684" s="5">
        <v>26587</v>
      </c>
      <c r="N684" s="5">
        <v>0</v>
      </c>
      <c r="O684" s="5">
        <v>49146</v>
      </c>
      <c r="P684" s="5">
        <v>11288</v>
      </c>
      <c r="Q684">
        <v>6</v>
      </c>
      <c r="R684" t="s">
        <v>41</v>
      </c>
    </row>
    <row r="685" spans="1:18">
      <c r="A685" t="s">
        <v>744</v>
      </c>
      <c r="B685" s="4">
        <v>46265</v>
      </c>
      <c r="C685" t="s">
        <v>541</v>
      </c>
      <c r="D685" t="s">
        <v>231</v>
      </c>
      <c r="E685" t="s">
        <v>232</v>
      </c>
      <c r="F685" t="s">
        <v>51</v>
      </c>
      <c r="G685" t="s">
        <v>40</v>
      </c>
      <c r="H685">
        <v>2</v>
      </c>
      <c r="I685" s="5">
        <v>227063</v>
      </c>
      <c r="J685" s="5">
        <v>72660</v>
      </c>
      <c r="K685" s="5">
        <v>154403</v>
      </c>
      <c r="L685" s="5">
        <v>93416</v>
      </c>
      <c r="M685" s="5">
        <v>12402</v>
      </c>
      <c r="N685" s="5">
        <v>0</v>
      </c>
      <c r="O685" s="5">
        <v>23565</v>
      </c>
      <c r="P685" s="5">
        <v>25020</v>
      </c>
      <c r="Q685">
        <v>4</v>
      </c>
      <c r="R685" t="s">
        <v>41</v>
      </c>
    </row>
    <row r="686" spans="1:18">
      <c r="A686" t="s">
        <v>745</v>
      </c>
      <c r="B686" s="4">
        <v>46224</v>
      </c>
      <c r="C686" t="s">
        <v>541</v>
      </c>
      <c r="D686" t="s">
        <v>231</v>
      </c>
      <c r="E686" t="s">
        <v>234</v>
      </c>
      <c r="F686" t="s">
        <v>46</v>
      </c>
      <c r="G686" t="s">
        <v>43</v>
      </c>
      <c r="H686">
        <v>2</v>
      </c>
      <c r="I686" s="5">
        <v>364465</v>
      </c>
      <c r="J686" s="5">
        <v>80565</v>
      </c>
      <c r="K686" s="5">
        <v>283900</v>
      </c>
      <c r="L686" s="5">
        <v>183708</v>
      </c>
      <c r="M686" s="5">
        <v>20664</v>
      </c>
      <c r="N686" s="5">
        <v>0</v>
      </c>
      <c r="O686" s="5">
        <v>62627</v>
      </c>
      <c r="P686" s="5">
        <v>16901</v>
      </c>
      <c r="Q686">
        <v>2</v>
      </c>
      <c r="R686" t="s">
        <v>41</v>
      </c>
    </row>
    <row r="687" spans="1:18">
      <c r="A687" t="s">
        <v>746</v>
      </c>
      <c r="B687" s="4">
        <v>46272</v>
      </c>
      <c r="C687" t="s">
        <v>541</v>
      </c>
      <c r="D687" t="s">
        <v>231</v>
      </c>
      <c r="E687" t="s">
        <v>243</v>
      </c>
      <c r="F687" t="s">
        <v>61</v>
      </c>
      <c r="G687" t="s">
        <v>43</v>
      </c>
      <c r="H687">
        <v>2</v>
      </c>
      <c r="I687" s="5">
        <v>296104</v>
      </c>
      <c r="J687" s="5">
        <v>62189</v>
      </c>
      <c r="K687" s="5">
        <v>233915</v>
      </c>
      <c r="L687" s="5">
        <v>162464</v>
      </c>
      <c r="M687" s="5">
        <v>18423</v>
      </c>
      <c r="N687" s="5">
        <v>0</v>
      </c>
      <c r="O687" s="5">
        <v>31309</v>
      </c>
      <c r="P687" s="5">
        <v>21719</v>
      </c>
      <c r="Q687">
        <v>2</v>
      </c>
      <c r="R687" t="s">
        <v>41</v>
      </c>
    </row>
    <row r="688" spans="1:18">
      <c r="A688" t="s">
        <v>747</v>
      </c>
      <c r="B688" s="4">
        <v>46295</v>
      </c>
      <c r="C688" t="s">
        <v>541</v>
      </c>
      <c r="D688" t="s">
        <v>231</v>
      </c>
      <c r="E688" t="s">
        <v>243</v>
      </c>
      <c r="F688" t="s">
        <v>49</v>
      </c>
      <c r="G688" t="s">
        <v>43</v>
      </c>
      <c r="H688">
        <v>2</v>
      </c>
      <c r="I688" s="5">
        <v>321357</v>
      </c>
      <c r="J688" s="5">
        <v>88143</v>
      </c>
      <c r="K688" s="5">
        <v>233214</v>
      </c>
      <c r="L688" s="5">
        <v>159476</v>
      </c>
      <c r="M688" s="5">
        <v>18631</v>
      </c>
      <c r="N688" s="5">
        <v>0</v>
      </c>
      <c r="O688" s="5">
        <v>39146</v>
      </c>
      <c r="P688" s="5">
        <v>15961</v>
      </c>
      <c r="Q688">
        <v>3</v>
      </c>
      <c r="R688" t="s">
        <v>41</v>
      </c>
    </row>
    <row r="689" spans="1:18">
      <c r="A689" t="s">
        <v>748</v>
      </c>
      <c r="B689" s="4">
        <v>46228</v>
      </c>
      <c r="C689" t="s">
        <v>541</v>
      </c>
      <c r="D689" t="s">
        <v>231</v>
      </c>
      <c r="E689" t="s">
        <v>239</v>
      </c>
      <c r="F689" t="s">
        <v>49</v>
      </c>
      <c r="G689" t="s">
        <v>43</v>
      </c>
      <c r="H689">
        <v>2</v>
      </c>
      <c r="I689" s="5">
        <v>181848</v>
      </c>
      <c r="J689" s="5">
        <v>40529</v>
      </c>
      <c r="K689" s="5">
        <v>141319</v>
      </c>
      <c r="L689" s="5">
        <v>90307</v>
      </c>
      <c r="M689" s="5">
        <v>8344</v>
      </c>
      <c r="N689" s="5">
        <v>0</v>
      </c>
      <c r="O689" s="5">
        <v>32630</v>
      </c>
      <c r="P689" s="5">
        <v>10038</v>
      </c>
      <c r="Q689">
        <v>5</v>
      </c>
      <c r="R689" t="s">
        <v>41</v>
      </c>
    </row>
    <row r="690" spans="1:18">
      <c r="A690" t="s">
        <v>749</v>
      </c>
      <c r="B690" s="4">
        <v>46253</v>
      </c>
      <c r="C690" t="s">
        <v>541</v>
      </c>
      <c r="D690" t="s">
        <v>231</v>
      </c>
      <c r="E690" t="s">
        <v>243</v>
      </c>
      <c r="F690" t="s">
        <v>39</v>
      </c>
      <c r="G690" t="s">
        <v>43</v>
      </c>
      <c r="H690">
        <v>6</v>
      </c>
      <c r="I690" s="5">
        <v>385827</v>
      </c>
      <c r="J690" s="5">
        <v>105147</v>
      </c>
      <c r="K690" s="5">
        <v>280680</v>
      </c>
      <c r="L690" s="5">
        <v>187719</v>
      </c>
      <c r="M690" s="5">
        <v>15405</v>
      </c>
      <c r="N690" s="5">
        <v>13188</v>
      </c>
      <c r="O690" s="5">
        <v>40162</v>
      </c>
      <c r="P690" s="5">
        <v>24206</v>
      </c>
      <c r="Q690">
        <v>1</v>
      </c>
      <c r="R690" t="s">
        <v>53</v>
      </c>
    </row>
    <row r="691" spans="1:18">
      <c r="A691" t="s">
        <v>750</v>
      </c>
      <c r="B691" s="4">
        <v>46262</v>
      </c>
      <c r="C691" t="s">
        <v>541</v>
      </c>
      <c r="D691" t="s">
        <v>231</v>
      </c>
      <c r="E691" t="s">
        <v>234</v>
      </c>
      <c r="F691" t="s">
        <v>51</v>
      </c>
      <c r="G691" t="s">
        <v>43</v>
      </c>
      <c r="H691">
        <v>2</v>
      </c>
      <c r="I691" s="5">
        <v>385665</v>
      </c>
      <c r="J691" s="5">
        <v>91265</v>
      </c>
      <c r="K691" s="5">
        <v>294400</v>
      </c>
      <c r="L691" s="5">
        <v>207590</v>
      </c>
      <c r="M691" s="5">
        <v>23469</v>
      </c>
      <c r="N691" s="5">
        <v>8521</v>
      </c>
      <c r="O691" s="5">
        <v>41048</v>
      </c>
      <c r="P691" s="5">
        <v>13772</v>
      </c>
      <c r="Q691">
        <v>4</v>
      </c>
      <c r="R691" t="s">
        <v>53</v>
      </c>
    </row>
    <row r="692" spans="1:18">
      <c r="A692" t="s">
        <v>751</v>
      </c>
      <c r="B692" s="4">
        <v>46293</v>
      </c>
      <c r="C692" t="s">
        <v>541</v>
      </c>
      <c r="D692" t="s">
        <v>231</v>
      </c>
      <c r="E692" t="s">
        <v>239</v>
      </c>
      <c r="F692" t="s">
        <v>49</v>
      </c>
      <c r="G692" t="s">
        <v>43</v>
      </c>
      <c r="H692">
        <v>3</v>
      </c>
      <c r="I692" s="5">
        <v>277887</v>
      </c>
      <c r="J692" s="5">
        <v>50406</v>
      </c>
      <c r="K692" s="5">
        <v>227481</v>
      </c>
      <c r="L692" s="5">
        <v>153896</v>
      </c>
      <c r="M692" s="5">
        <v>13800</v>
      </c>
      <c r="N692" s="5">
        <v>0</v>
      </c>
      <c r="O692" s="5">
        <v>41934</v>
      </c>
      <c r="P692" s="5">
        <v>17851</v>
      </c>
      <c r="Q692">
        <v>4</v>
      </c>
      <c r="R692" t="s">
        <v>41</v>
      </c>
    </row>
    <row r="693" spans="1:18">
      <c r="A693" t="s">
        <v>752</v>
      </c>
      <c r="B693" s="4">
        <v>46284</v>
      </c>
      <c r="C693" t="s">
        <v>541</v>
      </c>
      <c r="D693" t="s">
        <v>231</v>
      </c>
      <c r="E693" t="s">
        <v>232</v>
      </c>
      <c r="F693" t="s">
        <v>46</v>
      </c>
      <c r="G693" t="s">
        <v>43</v>
      </c>
      <c r="H693">
        <v>6</v>
      </c>
      <c r="I693" s="5">
        <v>282560</v>
      </c>
      <c r="J693" s="5">
        <v>47058</v>
      </c>
      <c r="K693" s="5">
        <v>235502</v>
      </c>
      <c r="L693" s="5">
        <v>153169</v>
      </c>
      <c r="M693" s="5">
        <v>20413</v>
      </c>
      <c r="N693" s="5">
        <v>0</v>
      </c>
      <c r="O693" s="5">
        <v>43800</v>
      </c>
      <c r="P693" s="5">
        <v>18120</v>
      </c>
      <c r="Q693">
        <v>4</v>
      </c>
      <c r="R693" t="s">
        <v>41</v>
      </c>
    </row>
    <row r="694" spans="1:18">
      <c r="A694" t="s">
        <v>753</v>
      </c>
      <c r="B694" s="4">
        <v>46232</v>
      </c>
      <c r="C694" t="s">
        <v>541</v>
      </c>
      <c r="D694" t="s">
        <v>231</v>
      </c>
      <c r="E694" t="s">
        <v>239</v>
      </c>
      <c r="F694" t="s">
        <v>51</v>
      </c>
      <c r="G694" t="s">
        <v>43</v>
      </c>
      <c r="H694">
        <v>6</v>
      </c>
      <c r="I694" s="5">
        <v>246082</v>
      </c>
      <c r="J694" s="5">
        <v>57071</v>
      </c>
      <c r="K694" s="5">
        <v>189011</v>
      </c>
      <c r="L694" s="5">
        <v>133554</v>
      </c>
      <c r="M694" s="5">
        <v>11726</v>
      </c>
      <c r="N694" s="5">
        <v>0</v>
      </c>
      <c r="O694" s="5">
        <v>32102</v>
      </c>
      <c r="P694" s="5">
        <v>11629</v>
      </c>
      <c r="Q694">
        <v>4</v>
      </c>
      <c r="R694" t="s">
        <v>41</v>
      </c>
    </row>
    <row r="695" spans="1:18">
      <c r="A695" t="s">
        <v>754</v>
      </c>
      <c r="B695" s="4">
        <v>46274</v>
      </c>
      <c r="C695" t="s">
        <v>541</v>
      </c>
      <c r="D695" t="s">
        <v>231</v>
      </c>
      <c r="E695" t="s">
        <v>243</v>
      </c>
      <c r="F695" t="s">
        <v>39</v>
      </c>
      <c r="G695" t="s">
        <v>43</v>
      </c>
      <c r="H695">
        <v>6</v>
      </c>
      <c r="I695" s="5">
        <v>186882</v>
      </c>
      <c r="J695" s="5">
        <v>26442</v>
      </c>
      <c r="K695" s="5">
        <v>160440</v>
      </c>
      <c r="L695" s="5">
        <v>107415</v>
      </c>
      <c r="M695" s="5">
        <v>13648</v>
      </c>
      <c r="N695" s="5">
        <v>0</v>
      </c>
      <c r="O695" s="5">
        <v>24224</v>
      </c>
      <c r="P695" s="5">
        <v>15153</v>
      </c>
      <c r="Q695">
        <v>7</v>
      </c>
      <c r="R695" t="s">
        <v>41</v>
      </c>
    </row>
    <row r="696" spans="1:18">
      <c r="A696" t="s">
        <v>755</v>
      </c>
      <c r="B696" s="4">
        <v>46240</v>
      </c>
      <c r="C696" t="s">
        <v>541</v>
      </c>
      <c r="D696" t="s">
        <v>231</v>
      </c>
      <c r="E696" t="s">
        <v>232</v>
      </c>
      <c r="F696" t="s">
        <v>49</v>
      </c>
      <c r="G696" t="s">
        <v>43</v>
      </c>
      <c r="H696">
        <v>1</v>
      </c>
      <c r="I696" s="5">
        <v>399911</v>
      </c>
      <c r="J696" s="5">
        <v>75208</v>
      </c>
      <c r="K696" s="5">
        <v>324703</v>
      </c>
      <c r="L696" s="5">
        <v>222315</v>
      </c>
      <c r="M696" s="5">
        <v>19543</v>
      </c>
      <c r="N696" s="5">
        <v>0</v>
      </c>
      <c r="O696" s="5">
        <v>68976</v>
      </c>
      <c r="P696" s="5">
        <v>13869</v>
      </c>
      <c r="Q696">
        <v>4</v>
      </c>
      <c r="R696" t="s">
        <v>41</v>
      </c>
    </row>
    <row r="697" spans="1:18">
      <c r="A697" t="s">
        <v>756</v>
      </c>
      <c r="B697" s="4">
        <v>46294</v>
      </c>
      <c r="C697" t="s">
        <v>541</v>
      </c>
      <c r="D697" t="s">
        <v>231</v>
      </c>
      <c r="E697" t="s">
        <v>234</v>
      </c>
      <c r="F697" t="s">
        <v>46</v>
      </c>
      <c r="G697" t="s">
        <v>40</v>
      </c>
      <c r="H697">
        <v>5</v>
      </c>
      <c r="I697" s="5">
        <v>362788</v>
      </c>
      <c r="J697" s="5">
        <v>94246</v>
      </c>
      <c r="K697" s="5">
        <v>268542</v>
      </c>
      <c r="L697" s="5">
        <v>186765</v>
      </c>
      <c r="M697" s="5">
        <v>23517</v>
      </c>
      <c r="N697" s="5">
        <v>0</v>
      </c>
      <c r="O697" s="5">
        <v>44780</v>
      </c>
      <c r="P697" s="5">
        <v>13480</v>
      </c>
      <c r="Q697">
        <v>6</v>
      </c>
      <c r="R697" t="s">
        <v>41</v>
      </c>
    </row>
    <row r="698" spans="1:18">
      <c r="A698" t="s">
        <v>757</v>
      </c>
      <c r="B698" s="4">
        <v>46229</v>
      </c>
      <c r="C698" t="s">
        <v>541</v>
      </c>
      <c r="D698" t="s">
        <v>231</v>
      </c>
      <c r="E698" t="s">
        <v>239</v>
      </c>
      <c r="F698" t="s">
        <v>39</v>
      </c>
      <c r="G698" t="s">
        <v>40</v>
      </c>
      <c r="H698">
        <v>6</v>
      </c>
      <c r="I698" s="5">
        <v>220541</v>
      </c>
      <c r="J698" s="5">
        <v>56251</v>
      </c>
      <c r="K698" s="5">
        <v>164290</v>
      </c>
      <c r="L698" s="5">
        <v>103111</v>
      </c>
      <c r="M698" s="5">
        <v>9606</v>
      </c>
      <c r="N698" s="5">
        <v>0</v>
      </c>
      <c r="O698" s="5">
        <v>33293</v>
      </c>
      <c r="P698" s="5">
        <v>18280</v>
      </c>
      <c r="Q698">
        <v>6</v>
      </c>
      <c r="R698" t="s">
        <v>41</v>
      </c>
    </row>
    <row r="699" spans="1:18">
      <c r="A699" t="s">
        <v>758</v>
      </c>
      <c r="B699" s="4">
        <v>46225</v>
      </c>
      <c r="C699" t="s">
        <v>541</v>
      </c>
      <c r="D699" t="s">
        <v>231</v>
      </c>
      <c r="E699" t="s">
        <v>239</v>
      </c>
      <c r="F699" t="s">
        <v>61</v>
      </c>
      <c r="G699" t="s">
        <v>43</v>
      </c>
      <c r="H699">
        <v>4</v>
      </c>
      <c r="I699" s="5">
        <v>198004</v>
      </c>
      <c r="J699" s="5">
        <v>46592</v>
      </c>
      <c r="K699" s="5">
        <v>151412</v>
      </c>
      <c r="L699" s="5">
        <v>96040</v>
      </c>
      <c r="M699" s="5">
        <v>13360</v>
      </c>
      <c r="N699" s="5">
        <v>0</v>
      </c>
      <c r="O699" s="5">
        <v>25131</v>
      </c>
      <c r="P699" s="5">
        <v>16881</v>
      </c>
      <c r="Q699">
        <v>1</v>
      </c>
      <c r="R699" t="s">
        <v>41</v>
      </c>
    </row>
    <row r="700" spans="1:18">
      <c r="A700" t="s">
        <v>759</v>
      </c>
      <c r="B700" s="4">
        <v>46223</v>
      </c>
      <c r="C700" t="s">
        <v>541</v>
      </c>
      <c r="D700" t="s">
        <v>231</v>
      </c>
      <c r="E700" t="s">
        <v>243</v>
      </c>
      <c r="F700" t="s">
        <v>51</v>
      </c>
      <c r="G700" t="s">
        <v>40</v>
      </c>
      <c r="H700">
        <v>1</v>
      </c>
      <c r="I700" s="5">
        <v>388552</v>
      </c>
      <c r="J700" s="5">
        <v>87392</v>
      </c>
      <c r="K700" s="5">
        <v>301160</v>
      </c>
      <c r="L700" s="5">
        <v>220342</v>
      </c>
      <c r="M700" s="5">
        <v>24667</v>
      </c>
      <c r="N700" s="5">
        <v>0</v>
      </c>
      <c r="O700" s="5">
        <v>41811</v>
      </c>
      <c r="P700" s="5">
        <v>14340</v>
      </c>
      <c r="Q700">
        <v>5</v>
      </c>
      <c r="R700" t="s">
        <v>41</v>
      </c>
    </row>
    <row r="701" spans="1:18">
      <c r="A701" t="s">
        <v>760</v>
      </c>
      <c r="B701" s="4">
        <v>46252</v>
      </c>
      <c r="C701" t="s">
        <v>541</v>
      </c>
      <c r="D701" t="s">
        <v>231</v>
      </c>
      <c r="E701" t="s">
        <v>239</v>
      </c>
      <c r="F701" t="s">
        <v>46</v>
      </c>
      <c r="G701" t="s">
        <v>43</v>
      </c>
      <c r="H701">
        <v>3</v>
      </c>
      <c r="I701" s="5">
        <v>208518</v>
      </c>
      <c r="J701" s="5">
        <v>46359</v>
      </c>
      <c r="K701" s="5">
        <v>162159</v>
      </c>
      <c r="L701" s="5">
        <v>104795</v>
      </c>
      <c r="M701" s="5">
        <v>13868</v>
      </c>
      <c r="N701" s="5">
        <v>0</v>
      </c>
      <c r="O701" s="5">
        <v>22587</v>
      </c>
      <c r="P701" s="5">
        <v>20909</v>
      </c>
      <c r="Q701">
        <v>6</v>
      </c>
      <c r="R701" t="s">
        <v>41</v>
      </c>
    </row>
    <row r="702" spans="1:18">
      <c r="A702" t="s">
        <v>761</v>
      </c>
      <c r="B702" s="4">
        <v>46286</v>
      </c>
      <c r="C702" t="s">
        <v>541</v>
      </c>
      <c r="D702" t="s">
        <v>231</v>
      </c>
      <c r="E702" t="s">
        <v>232</v>
      </c>
      <c r="F702" t="s">
        <v>61</v>
      </c>
      <c r="G702" t="s">
        <v>43</v>
      </c>
      <c r="H702">
        <v>3</v>
      </c>
      <c r="I702" s="5">
        <v>352740</v>
      </c>
      <c r="J702" s="5">
        <v>68574</v>
      </c>
      <c r="K702" s="5">
        <v>284166</v>
      </c>
      <c r="L702" s="5">
        <v>185374</v>
      </c>
      <c r="M702" s="5">
        <v>17601</v>
      </c>
      <c r="N702" s="5">
        <v>0</v>
      </c>
      <c r="O702" s="5">
        <v>69217</v>
      </c>
      <c r="P702" s="5">
        <v>11974</v>
      </c>
      <c r="Q702">
        <v>3</v>
      </c>
      <c r="R702" t="s">
        <v>41</v>
      </c>
    </row>
    <row r="703" spans="1:18">
      <c r="A703" t="s">
        <v>762</v>
      </c>
      <c r="B703" s="4">
        <v>46293</v>
      </c>
      <c r="C703" t="s">
        <v>541</v>
      </c>
      <c r="D703" t="s">
        <v>231</v>
      </c>
      <c r="E703" t="s">
        <v>243</v>
      </c>
      <c r="F703" t="s">
        <v>39</v>
      </c>
      <c r="G703" t="s">
        <v>40</v>
      </c>
      <c r="H703">
        <v>1</v>
      </c>
      <c r="I703" s="5">
        <v>157899</v>
      </c>
      <c r="J703" s="5">
        <v>33885</v>
      </c>
      <c r="K703" s="5">
        <v>124014</v>
      </c>
      <c r="L703" s="5">
        <v>73072</v>
      </c>
      <c r="M703" s="5">
        <v>7508</v>
      </c>
      <c r="N703" s="5">
        <v>0</v>
      </c>
      <c r="O703" s="5">
        <v>19061</v>
      </c>
      <c r="P703" s="5">
        <v>24373</v>
      </c>
      <c r="Q703">
        <v>3</v>
      </c>
      <c r="R703" t="s">
        <v>41</v>
      </c>
    </row>
    <row r="704" spans="1:18">
      <c r="A704" t="s">
        <v>763</v>
      </c>
      <c r="B704" s="4">
        <v>46293</v>
      </c>
      <c r="C704" t="s">
        <v>541</v>
      </c>
      <c r="D704" t="s">
        <v>231</v>
      </c>
      <c r="E704" t="s">
        <v>239</v>
      </c>
      <c r="F704" t="s">
        <v>46</v>
      </c>
      <c r="G704" t="s">
        <v>43</v>
      </c>
      <c r="H704">
        <v>1</v>
      </c>
      <c r="I704" s="5">
        <v>232962</v>
      </c>
      <c r="J704" s="5">
        <v>45380</v>
      </c>
      <c r="K704" s="5">
        <v>187582</v>
      </c>
      <c r="L704" s="5">
        <v>135538</v>
      </c>
      <c r="M704" s="5">
        <v>14580</v>
      </c>
      <c r="N704" s="5">
        <v>0</v>
      </c>
      <c r="O704" s="5">
        <v>28787</v>
      </c>
      <c r="P704" s="5">
        <v>8677</v>
      </c>
      <c r="Q704">
        <v>7</v>
      </c>
      <c r="R704" t="s">
        <v>41</v>
      </c>
    </row>
    <row r="705" spans="1:18">
      <c r="A705" t="s">
        <v>764</v>
      </c>
      <c r="B705" s="4">
        <v>46230</v>
      </c>
      <c r="C705" t="s">
        <v>541</v>
      </c>
      <c r="D705" t="s">
        <v>231</v>
      </c>
      <c r="E705" t="s">
        <v>239</v>
      </c>
      <c r="F705" t="s">
        <v>51</v>
      </c>
      <c r="G705" t="s">
        <v>40</v>
      </c>
      <c r="H705">
        <v>1</v>
      </c>
      <c r="I705" s="5">
        <v>276237</v>
      </c>
      <c r="J705" s="5">
        <v>48045</v>
      </c>
      <c r="K705" s="5">
        <v>228192</v>
      </c>
      <c r="L705" s="5">
        <v>152387</v>
      </c>
      <c r="M705" s="5">
        <v>18756</v>
      </c>
      <c r="N705" s="5">
        <v>0</v>
      </c>
      <c r="O705" s="5">
        <v>33614</v>
      </c>
      <c r="P705" s="5">
        <v>23435</v>
      </c>
      <c r="Q705">
        <v>4</v>
      </c>
      <c r="R705" t="s">
        <v>41</v>
      </c>
    </row>
    <row r="706" spans="1:18">
      <c r="A706" t="s">
        <v>765</v>
      </c>
      <c r="B706" s="4">
        <v>46224</v>
      </c>
      <c r="C706" t="s">
        <v>541</v>
      </c>
      <c r="D706" t="s">
        <v>231</v>
      </c>
      <c r="E706" t="s">
        <v>239</v>
      </c>
      <c r="F706" t="s">
        <v>49</v>
      </c>
      <c r="G706" t="s">
        <v>43</v>
      </c>
      <c r="H706">
        <v>1</v>
      </c>
      <c r="I706" s="5">
        <v>195980</v>
      </c>
      <c r="J706" s="5">
        <v>31520</v>
      </c>
      <c r="K706" s="5">
        <v>164460</v>
      </c>
      <c r="L706" s="5">
        <v>99020</v>
      </c>
      <c r="M706" s="5">
        <v>9335</v>
      </c>
      <c r="N706" s="5">
        <v>0</v>
      </c>
      <c r="O706" s="5">
        <v>34930</v>
      </c>
      <c r="P706" s="5">
        <v>21175</v>
      </c>
      <c r="Q706">
        <v>3</v>
      </c>
      <c r="R706" t="s">
        <v>41</v>
      </c>
    </row>
    <row r="707" spans="1:18">
      <c r="A707" t="s">
        <v>766</v>
      </c>
      <c r="B707" s="4">
        <v>46288</v>
      </c>
      <c r="C707" t="s">
        <v>541</v>
      </c>
      <c r="D707" t="s">
        <v>231</v>
      </c>
      <c r="E707" t="s">
        <v>239</v>
      </c>
      <c r="F707" t="s">
        <v>51</v>
      </c>
      <c r="G707" t="s">
        <v>43</v>
      </c>
      <c r="H707">
        <v>1</v>
      </c>
      <c r="I707" s="5">
        <v>385389</v>
      </c>
      <c r="J707" s="5">
        <v>90787</v>
      </c>
      <c r="K707" s="5">
        <v>294602</v>
      </c>
      <c r="L707" s="5">
        <v>197609</v>
      </c>
      <c r="M707" s="5">
        <v>27578</v>
      </c>
      <c r="N707" s="5">
        <v>0</v>
      </c>
      <c r="O707" s="5">
        <v>54368</v>
      </c>
      <c r="P707" s="5">
        <v>15047</v>
      </c>
      <c r="Q707">
        <v>5</v>
      </c>
      <c r="R707" t="s">
        <v>41</v>
      </c>
    </row>
    <row r="708" spans="1:18">
      <c r="A708" t="s">
        <v>767</v>
      </c>
      <c r="B708" s="4">
        <v>46277</v>
      </c>
      <c r="C708" t="s">
        <v>541</v>
      </c>
      <c r="D708" t="s">
        <v>231</v>
      </c>
      <c r="E708" t="s">
        <v>243</v>
      </c>
      <c r="F708" t="s">
        <v>39</v>
      </c>
      <c r="G708" t="s">
        <v>43</v>
      </c>
      <c r="H708">
        <v>5</v>
      </c>
      <c r="I708" s="5">
        <v>456537</v>
      </c>
      <c r="J708" s="5">
        <v>118688</v>
      </c>
      <c r="K708" s="5">
        <v>337849</v>
      </c>
      <c r="L708" s="5">
        <v>241856</v>
      </c>
      <c r="M708" s="5">
        <v>27834</v>
      </c>
      <c r="N708" s="5">
        <v>0</v>
      </c>
      <c r="O708" s="5">
        <v>52591</v>
      </c>
      <c r="P708" s="5">
        <v>15568</v>
      </c>
      <c r="Q708">
        <v>4</v>
      </c>
      <c r="R708" t="s">
        <v>41</v>
      </c>
    </row>
    <row r="709" spans="1:18">
      <c r="A709" t="s">
        <v>768</v>
      </c>
      <c r="B709" s="4">
        <v>46228</v>
      </c>
      <c r="C709" t="s">
        <v>541</v>
      </c>
      <c r="D709" t="s">
        <v>231</v>
      </c>
      <c r="E709" t="s">
        <v>232</v>
      </c>
      <c r="F709" t="s">
        <v>39</v>
      </c>
      <c r="G709" t="s">
        <v>40</v>
      </c>
      <c r="H709">
        <v>2</v>
      </c>
      <c r="I709" s="5">
        <v>311730</v>
      </c>
      <c r="J709" s="5">
        <v>61307</v>
      </c>
      <c r="K709" s="5">
        <v>250423</v>
      </c>
      <c r="L709" s="5">
        <v>161660</v>
      </c>
      <c r="M709" s="5">
        <v>21774</v>
      </c>
      <c r="N709" s="5">
        <v>0</v>
      </c>
      <c r="O709" s="5">
        <v>51227</v>
      </c>
      <c r="P709" s="5">
        <v>15762</v>
      </c>
      <c r="Q709">
        <v>4</v>
      </c>
      <c r="R709" t="s">
        <v>41</v>
      </c>
    </row>
    <row r="710" spans="1:18">
      <c r="A710" t="s">
        <v>769</v>
      </c>
      <c r="B710" s="4">
        <v>46213</v>
      </c>
      <c r="C710" t="s">
        <v>541</v>
      </c>
      <c r="D710" t="s">
        <v>231</v>
      </c>
      <c r="E710" t="s">
        <v>234</v>
      </c>
      <c r="F710" t="s">
        <v>39</v>
      </c>
      <c r="G710" t="s">
        <v>43</v>
      </c>
      <c r="H710">
        <v>6</v>
      </c>
      <c r="I710" s="5">
        <v>285822</v>
      </c>
      <c r="J710" s="5">
        <v>57290</v>
      </c>
      <c r="K710" s="5">
        <v>228532</v>
      </c>
      <c r="L710" s="5">
        <v>151819</v>
      </c>
      <c r="M710" s="5">
        <v>13883</v>
      </c>
      <c r="N710" s="5">
        <v>0</v>
      </c>
      <c r="O710" s="5">
        <v>47433</v>
      </c>
      <c r="P710" s="5">
        <v>15397</v>
      </c>
      <c r="Q710">
        <v>3</v>
      </c>
      <c r="R710" t="s">
        <v>41</v>
      </c>
    </row>
    <row r="711" spans="1:18">
      <c r="A711" t="s">
        <v>770</v>
      </c>
      <c r="B711" s="4">
        <v>46292</v>
      </c>
      <c r="C711" t="s">
        <v>541</v>
      </c>
      <c r="D711" t="s">
        <v>231</v>
      </c>
      <c r="E711" t="s">
        <v>232</v>
      </c>
      <c r="F711" t="s">
        <v>49</v>
      </c>
      <c r="G711" t="s">
        <v>40</v>
      </c>
      <c r="H711">
        <v>1</v>
      </c>
      <c r="I711" s="5">
        <v>176958</v>
      </c>
      <c r="J711" s="5">
        <v>44079</v>
      </c>
      <c r="K711" s="5">
        <v>132879</v>
      </c>
      <c r="L711" s="5">
        <v>76655</v>
      </c>
      <c r="M711" s="5">
        <v>7823</v>
      </c>
      <c r="N711" s="5">
        <v>0</v>
      </c>
      <c r="O711" s="5">
        <v>27022</v>
      </c>
      <c r="P711" s="5">
        <v>21379</v>
      </c>
      <c r="Q711">
        <v>3</v>
      </c>
      <c r="R711" t="s">
        <v>41</v>
      </c>
    </row>
    <row r="712" spans="1:18">
      <c r="A712" t="s">
        <v>771</v>
      </c>
      <c r="B712" s="4">
        <v>46276</v>
      </c>
      <c r="C712" t="s">
        <v>541</v>
      </c>
      <c r="D712" t="s">
        <v>231</v>
      </c>
      <c r="E712" t="s">
        <v>232</v>
      </c>
      <c r="F712" t="s">
        <v>46</v>
      </c>
      <c r="G712" t="s">
        <v>40</v>
      </c>
      <c r="H712">
        <v>3</v>
      </c>
      <c r="I712" s="5">
        <v>344523</v>
      </c>
      <c r="J712" s="5">
        <v>69236</v>
      </c>
      <c r="K712" s="5">
        <v>275287</v>
      </c>
      <c r="L712" s="5">
        <v>191668</v>
      </c>
      <c r="M712" s="5">
        <v>22320</v>
      </c>
      <c r="N712" s="5">
        <v>0</v>
      </c>
      <c r="O712" s="5">
        <v>46084</v>
      </c>
      <c r="P712" s="5">
        <v>15215</v>
      </c>
      <c r="Q712">
        <v>3</v>
      </c>
      <c r="R712" t="s">
        <v>41</v>
      </c>
    </row>
    <row r="713" spans="1:18">
      <c r="A713" t="s">
        <v>772</v>
      </c>
      <c r="B713" s="4">
        <v>46218</v>
      </c>
      <c r="C713" t="s">
        <v>541</v>
      </c>
      <c r="D713" t="s">
        <v>231</v>
      </c>
      <c r="E713" t="s">
        <v>243</v>
      </c>
      <c r="F713" t="s">
        <v>61</v>
      </c>
      <c r="G713" t="s">
        <v>43</v>
      </c>
      <c r="H713">
        <v>6</v>
      </c>
      <c r="I713" s="5">
        <v>334092</v>
      </c>
      <c r="J713" s="5">
        <v>85955</v>
      </c>
      <c r="K713" s="5">
        <v>248137</v>
      </c>
      <c r="L713" s="5">
        <v>159825</v>
      </c>
      <c r="M713" s="5">
        <v>19709</v>
      </c>
      <c r="N713" s="5">
        <v>8194</v>
      </c>
      <c r="O713" s="5">
        <v>46506</v>
      </c>
      <c r="P713" s="5">
        <v>13903</v>
      </c>
      <c r="Q713">
        <v>4</v>
      </c>
      <c r="R713" t="s">
        <v>53</v>
      </c>
    </row>
    <row r="714" spans="1:18">
      <c r="A714" t="s">
        <v>773</v>
      </c>
      <c r="B714" s="4">
        <v>46239</v>
      </c>
      <c r="C714" t="s">
        <v>541</v>
      </c>
      <c r="D714" t="s">
        <v>231</v>
      </c>
      <c r="E714" t="s">
        <v>239</v>
      </c>
      <c r="F714" t="s">
        <v>61</v>
      </c>
      <c r="G714" t="s">
        <v>43</v>
      </c>
      <c r="H714">
        <v>2</v>
      </c>
      <c r="I714" s="5">
        <v>394432</v>
      </c>
      <c r="J714" s="5">
        <v>112414</v>
      </c>
      <c r="K714" s="5">
        <v>282018</v>
      </c>
      <c r="L714" s="5">
        <v>192319</v>
      </c>
      <c r="M714" s="5">
        <v>16885</v>
      </c>
      <c r="N714" s="5">
        <v>0</v>
      </c>
      <c r="O714" s="5">
        <v>47213</v>
      </c>
      <c r="P714" s="5">
        <v>25601</v>
      </c>
      <c r="Q714">
        <v>6</v>
      </c>
      <c r="R714" t="s">
        <v>41</v>
      </c>
    </row>
    <row r="715" spans="1:18">
      <c r="A715" t="s">
        <v>774</v>
      </c>
      <c r="B715" s="4">
        <v>46243</v>
      </c>
      <c r="C715" t="s">
        <v>541</v>
      </c>
      <c r="D715" t="s">
        <v>231</v>
      </c>
      <c r="E715" t="s">
        <v>243</v>
      </c>
      <c r="F715" t="s">
        <v>61</v>
      </c>
      <c r="G715" t="s">
        <v>43</v>
      </c>
      <c r="H715">
        <v>6</v>
      </c>
      <c r="I715" s="5">
        <v>355354</v>
      </c>
      <c r="J715" s="5">
        <v>73942</v>
      </c>
      <c r="K715" s="5">
        <v>281412</v>
      </c>
      <c r="L715" s="5">
        <v>207299</v>
      </c>
      <c r="M715" s="5">
        <v>18203</v>
      </c>
      <c r="N715" s="5">
        <v>0</v>
      </c>
      <c r="O715" s="5">
        <v>46079</v>
      </c>
      <c r="P715" s="5">
        <v>9831</v>
      </c>
      <c r="Q715">
        <v>5</v>
      </c>
      <c r="R715" t="s">
        <v>41</v>
      </c>
    </row>
    <row r="716" spans="1:18">
      <c r="A716" t="s">
        <v>775</v>
      </c>
      <c r="B716" s="4">
        <v>46253</v>
      </c>
      <c r="C716" t="s">
        <v>541</v>
      </c>
      <c r="D716" t="s">
        <v>231</v>
      </c>
      <c r="E716" t="s">
        <v>232</v>
      </c>
      <c r="F716" t="s">
        <v>39</v>
      </c>
      <c r="G716" t="s">
        <v>43</v>
      </c>
      <c r="H716">
        <v>4</v>
      </c>
      <c r="I716" s="5">
        <v>181514</v>
      </c>
      <c r="J716" s="5">
        <v>35284</v>
      </c>
      <c r="K716" s="5">
        <v>146230</v>
      </c>
      <c r="L716" s="5">
        <v>86212</v>
      </c>
      <c r="M716" s="5">
        <v>7828</v>
      </c>
      <c r="N716" s="5">
        <v>5228</v>
      </c>
      <c r="O716" s="5">
        <v>23125</v>
      </c>
      <c r="P716" s="5">
        <v>23837</v>
      </c>
      <c r="Q716">
        <v>4</v>
      </c>
      <c r="R716" t="s">
        <v>53</v>
      </c>
    </row>
    <row r="717" spans="1:18">
      <c r="A717" t="s">
        <v>776</v>
      </c>
      <c r="B717" s="4">
        <v>46222</v>
      </c>
      <c r="C717" t="s">
        <v>541</v>
      </c>
      <c r="D717" t="s">
        <v>231</v>
      </c>
      <c r="E717" t="s">
        <v>243</v>
      </c>
      <c r="F717" t="s">
        <v>49</v>
      </c>
      <c r="G717" t="s">
        <v>43</v>
      </c>
      <c r="H717">
        <v>1</v>
      </c>
      <c r="I717" s="5">
        <v>359754</v>
      </c>
      <c r="J717" s="5">
        <v>70990</v>
      </c>
      <c r="K717" s="5">
        <v>288764</v>
      </c>
      <c r="L717" s="5">
        <v>195151</v>
      </c>
      <c r="M717" s="5">
        <v>23290</v>
      </c>
      <c r="N717" s="5">
        <v>0</v>
      </c>
      <c r="O717" s="5">
        <v>44637</v>
      </c>
      <c r="P717" s="5">
        <v>25686</v>
      </c>
      <c r="Q717">
        <v>3</v>
      </c>
      <c r="R717" t="s">
        <v>41</v>
      </c>
    </row>
    <row r="718" spans="1:18">
      <c r="A718" t="s">
        <v>777</v>
      </c>
      <c r="B718" s="4">
        <v>46257</v>
      </c>
      <c r="C718" t="s">
        <v>541</v>
      </c>
      <c r="D718" t="s">
        <v>231</v>
      </c>
      <c r="E718" t="s">
        <v>243</v>
      </c>
      <c r="F718" t="s">
        <v>51</v>
      </c>
      <c r="G718" t="s">
        <v>43</v>
      </c>
      <c r="H718">
        <v>3</v>
      </c>
      <c r="I718" s="5">
        <v>310954</v>
      </c>
      <c r="J718" s="5">
        <v>81954</v>
      </c>
      <c r="K718" s="5">
        <v>229000</v>
      </c>
      <c r="L718" s="5">
        <v>155682</v>
      </c>
      <c r="M718" s="5">
        <v>19883</v>
      </c>
      <c r="N718" s="5">
        <v>0</v>
      </c>
      <c r="O718" s="5">
        <v>42687</v>
      </c>
      <c r="P718" s="5">
        <v>10748</v>
      </c>
      <c r="Q718">
        <v>3</v>
      </c>
      <c r="R718" t="s">
        <v>41</v>
      </c>
    </row>
    <row r="719" spans="1:18">
      <c r="A719" t="s">
        <v>778</v>
      </c>
      <c r="B719" s="4">
        <v>46233</v>
      </c>
      <c r="C719" t="s">
        <v>541</v>
      </c>
      <c r="D719" t="s">
        <v>231</v>
      </c>
      <c r="E719" t="s">
        <v>234</v>
      </c>
      <c r="F719" t="s">
        <v>61</v>
      </c>
      <c r="G719" t="s">
        <v>43</v>
      </c>
      <c r="H719">
        <v>4</v>
      </c>
      <c r="I719" s="5">
        <v>347070</v>
      </c>
      <c r="J719" s="5">
        <v>80658</v>
      </c>
      <c r="K719" s="5">
        <v>266412</v>
      </c>
      <c r="L719" s="5">
        <v>170401</v>
      </c>
      <c r="M719" s="5">
        <v>18642</v>
      </c>
      <c r="N719" s="5">
        <v>0</v>
      </c>
      <c r="O719" s="5">
        <v>52721</v>
      </c>
      <c r="P719" s="5">
        <v>24648</v>
      </c>
      <c r="Q719">
        <v>2</v>
      </c>
      <c r="R719" t="s">
        <v>41</v>
      </c>
    </row>
    <row r="720" spans="1:18">
      <c r="A720" t="s">
        <v>779</v>
      </c>
      <c r="B720" s="4">
        <v>46215</v>
      </c>
      <c r="C720" t="s">
        <v>541</v>
      </c>
      <c r="D720" t="s">
        <v>231</v>
      </c>
      <c r="E720" t="s">
        <v>232</v>
      </c>
      <c r="F720" t="s">
        <v>49</v>
      </c>
      <c r="G720" t="s">
        <v>40</v>
      </c>
      <c r="H720">
        <v>1</v>
      </c>
      <c r="I720" s="5">
        <v>172570</v>
      </c>
      <c r="J720" s="5">
        <v>39470</v>
      </c>
      <c r="K720" s="5">
        <v>133100</v>
      </c>
      <c r="L720" s="5">
        <v>89707</v>
      </c>
      <c r="M720" s="5">
        <v>7675</v>
      </c>
      <c r="N720" s="5">
        <v>0</v>
      </c>
      <c r="O720" s="5">
        <v>24318</v>
      </c>
      <c r="P720" s="5">
        <v>11400</v>
      </c>
      <c r="Q720">
        <v>1</v>
      </c>
      <c r="R720" t="s">
        <v>41</v>
      </c>
    </row>
    <row r="721" spans="1:18">
      <c r="A721" t="s">
        <v>780</v>
      </c>
      <c r="B721" s="4">
        <v>46258</v>
      </c>
      <c r="C721" t="s">
        <v>541</v>
      </c>
      <c r="D721" t="s">
        <v>231</v>
      </c>
      <c r="E721" t="s">
        <v>232</v>
      </c>
      <c r="F721" t="s">
        <v>46</v>
      </c>
      <c r="G721" t="s">
        <v>43</v>
      </c>
      <c r="H721">
        <v>5</v>
      </c>
      <c r="I721" s="5">
        <v>272237</v>
      </c>
      <c r="J721" s="5">
        <v>59391</v>
      </c>
      <c r="K721" s="5">
        <v>212846</v>
      </c>
      <c r="L721" s="5">
        <v>138431</v>
      </c>
      <c r="M721" s="5">
        <v>18150</v>
      </c>
      <c r="N721" s="5">
        <v>0</v>
      </c>
      <c r="O721" s="5">
        <v>34529</v>
      </c>
      <c r="P721" s="5">
        <v>21736</v>
      </c>
      <c r="Q721">
        <v>2</v>
      </c>
      <c r="R721" t="s">
        <v>41</v>
      </c>
    </row>
    <row r="722" spans="1:18">
      <c r="A722" t="s">
        <v>781</v>
      </c>
      <c r="B722" s="4">
        <v>46204</v>
      </c>
      <c r="C722" t="s">
        <v>541</v>
      </c>
      <c r="D722" t="s">
        <v>231</v>
      </c>
      <c r="E722" t="s">
        <v>243</v>
      </c>
      <c r="F722" t="s">
        <v>49</v>
      </c>
      <c r="G722" t="s">
        <v>43</v>
      </c>
      <c r="H722">
        <v>2</v>
      </c>
      <c r="I722" s="5">
        <v>212564</v>
      </c>
      <c r="J722" s="5">
        <v>42331</v>
      </c>
      <c r="K722" s="5">
        <v>170233</v>
      </c>
      <c r="L722" s="5">
        <v>105660</v>
      </c>
      <c r="M722" s="5">
        <v>9433</v>
      </c>
      <c r="N722" s="5">
        <v>5458</v>
      </c>
      <c r="O722" s="5">
        <v>24604</v>
      </c>
      <c r="P722" s="5">
        <v>25078</v>
      </c>
      <c r="Q722">
        <v>2</v>
      </c>
      <c r="R722" t="s">
        <v>53</v>
      </c>
    </row>
    <row r="723" spans="1:18">
      <c r="A723" t="s">
        <v>782</v>
      </c>
      <c r="B723" s="4">
        <v>46291</v>
      </c>
      <c r="C723" t="s">
        <v>541</v>
      </c>
      <c r="D723" t="s">
        <v>231</v>
      </c>
      <c r="E723" t="s">
        <v>239</v>
      </c>
      <c r="F723" t="s">
        <v>49</v>
      </c>
      <c r="G723" t="s">
        <v>43</v>
      </c>
      <c r="H723">
        <v>2</v>
      </c>
      <c r="I723" s="5">
        <v>249633</v>
      </c>
      <c r="J723" s="5">
        <v>67765</v>
      </c>
      <c r="K723" s="5">
        <v>181868</v>
      </c>
      <c r="L723" s="5">
        <v>122046</v>
      </c>
      <c r="M723" s="5">
        <v>15993</v>
      </c>
      <c r="N723" s="5">
        <v>0</v>
      </c>
      <c r="O723" s="5">
        <v>21950</v>
      </c>
      <c r="P723" s="5">
        <v>21879</v>
      </c>
      <c r="Q723">
        <v>4</v>
      </c>
      <c r="R723" t="s">
        <v>41</v>
      </c>
    </row>
    <row r="724" spans="1:18">
      <c r="A724" t="s">
        <v>783</v>
      </c>
      <c r="B724" s="4">
        <v>46269</v>
      </c>
      <c r="C724" t="s">
        <v>541</v>
      </c>
      <c r="D724" t="s">
        <v>231</v>
      </c>
      <c r="E724" t="s">
        <v>234</v>
      </c>
      <c r="F724" t="s">
        <v>61</v>
      </c>
      <c r="G724" t="s">
        <v>43</v>
      </c>
      <c r="H724">
        <v>4</v>
      </c>
      <c r="I724" s="5">
        <v>420334</v>
      </c>
      <c r="J724" s="5">
        <v>78586</v>
      </c>
      <c r="K724" s="5">
        <v>341748</v>
      </c>
      <c r="L724" s="5">
        <v>232828</v>
      </c>
      <c r="M724" s="5">
        <v>22095</v>
      </c>
      <c r="N724" s="5">
        <v>20357</v>
      </c>
      <c r="O724" s="5">
        <v>44928</v>
      </c>
      <c r="P724" s="5">
        <v>21540</v>
      </c>
      <c r="Q724">
        <v>1</v>
      </c>
      <c r="R724" t="s">
        <v>53</v>
      </c>
    </row>
    <row r="725" spans="1:18">
      <c r="A725" t="s">
        <v>784</v>
      </c>
      <c r="B725" s="4">
        <v>46273</v>
      </c>
      <c r="C725" t="s">
        <v>541</v>
      </c>
      <c r="D725" t="s">
        <v>231</v>
      </c>
      <c r="E725" t="s">
        <v>239</v>
      </c>
      <c r="F725" t="s">
        <v>39</v>
      </c>
      <c r="G725" t="s">
        <v>43</v>
      </c>
      <c r="H725">
        <v>4</v>
      </c>
      <c r="I725" s="5">
        <v>211064</v>
      </c>
      <c r="J725" s="5">
        <v>41256</v>
      </c>
      <c r="K725" s="5">
        <v>169808</v>
      </c>
      <c r="L725" s="5">
        <v>107119</v>
      </c>
      <c r="M725" s="5">
        <v>14986</v>
      </c>
      <c r="N725" s="5">
        <v>0</v>
      </c>
      <c r="O725" s="5">
        <v>33098</v>
      </c>
      <c r="P725" s="5">
        <v>14605</v>
      </c>
      <c r="Q725">
        <v>5</v>
      </c>
      <c r="R725" t="s">
        <v>41</v>
      </c>
    </row>
    <row r="726" spans="1:18">
      <c r="A726" t="s">
        <v>785</v>
      </c>
      <c r="B726" s="4">
        <v>46243</v>
      </c>
      <c r="C726" t="s">
        <v>541</v>
      </c>
      <c r="D726" t="s">
        <v>231</v>
      </c>
      <c r="E726" t="s">
        <v>239</v>
      </c>
      <c r="F726" t="s">
        <v>46</v>
      </c>
      <c r="G726" t="s">
        <v>43</v>
      </c>
      <c r="H726">
        <v>1</v>
      </c>
      <c r="I726" s="5">
        <v>159158</v>
      </c>
      <c r="J726" s="5">
        <v>33973</v>
      </c>
      <c r="K726" s="5">
        <v>125185</v>
      </c>
      <c r="L726" s="5">
        <v>77907</v>
      </c>
      <c r="M726" s="5">
        <v>8637</v>
      </c>
      <c r="N726" s="5">
        <v>0</v>
      </c>
      <c r="O726" s="5">
        <v>17831</v>
      </c>
      <c r="P726" s="5">
        <v>20810</v>
      </c>
      <c r="Q726">
        <v>5</v>
      </c>
      <c r="R726" t="s">
        <v>41</v>
      </c>
    </row>
    <row r="727" spans="1:18">
      <c r="A727" t="s">
        <v>786</v>
      </c>
      <c r="B727" s="4">
        <v>46227</v>
      </c>
      <c r="C727" t="s">
        <v>541</v>
      </c>
      <c r="D727" t="s">
        <v>231</v>
      </c>
      <c r="E727" t="s">
        <v>243</v>
      </c>
      <c r="F727" t="s">
        <v>39</v>
      </c>
      <c r="G727" t="s">
        <v>40</v>
      </c>
      <c r="H727">
        <v>1</v>
      </c>
      <c r="I727" s="5">
        <v>158146</v>
      </c>
      <c r="J727" s="5">
        <v>30073</v>
      </c>
      <c r="K727" s="5">
        <v>128073</v>
      </c>
      <c r="L727" s="5">
        <v>77015</v>
      </c>
      <c r="M727" s="5">
        <v>8048</v>
      </c>
      <c r="N727" s="5">
        <v>7121</v>
      </c>
      <c r="O727" s="5">
        <v>16355</v>
      </c>
      <c r="P727" s="5">
        <v>19534</v>
      </c>
      <c r="Q727">
        <v>6</v>
      </c>
      <c r="R727" t="s">
        <v>53</v>
      </c>
    </row>
    <row r="728" spans="1:18">
      <c r="A728" t="s">
        <v>787</v>
      </c>
      <c r="B728" s="4">
        <v>46266</v>
      </c>
      <c r="C728" t="s">
        <v>541</v>
      </c>
      <c r="D728" t="s">
        <v>231</v>
      </c>
      <c r="E728" t="s">
        <v>239</v>
      </c>
      <c r="F728" t="s">
        <v>51</v>
      </c>
      <c r="G728" t="s">
        <v>43</v>
      </c>
      <c r="H728">
        <v>2</v>
      </c>
      <c r="I728" s="5">
        <v>155826</v>
      </c>
      <c r="J728" s="5">
        <v>31000</v>
      </c>
      <c r="K728" s="5">
        <v>124826</v>
      </c>
      <c r="L728" s="5">
        <v>79953</v>
      </c>
      <c r="M728" s="5">
        <v>10542</v>
      </c>
      <c r="N728" s="5">
        <v>0</v>
      </c>
      <c r="O728" s="5">
        <v>19389</v>
      </c>
      <c r="P728" s="5">
        <v>14942</v>
      </c>
      <c r="Q728">
        <v>5</v>
      </c>
      <c r="R728" t="s">
        <v>41</v>
      </c>
    </row>
    <row r="729" spans="1:18">
      <c r="A729" t="s">
        <v>788</v>
      </c>
      <c r="B729" s="4">
        <v>46238</v>
      </c>
      <c r="C729" t="s">
        <v>541</v>
      </c>
      <c r="D729" t="s">
        <v>231</v>
      </c>
      <c r="E729" t="s">
        <v>239</v>
      </c>
      <c r="F729" t="s">
        <v>46</v>
      </c>
      <c r="G729" t="s">
        <v>43</v>
      </c>
      <c r="H729">
        <v>2</v>
      </c>
      <c r="I729" s="5">
        <v>393871</v>
      </c>
      <c r="J729" s="5">
        <v>73527</v>
      </c>
      <c r="K729" s="5">
        <v>320344</v>
      </c>
      <c r="L729" s="5">
        <v>221501</v>
      </c>
      <c r="M729" s="5">
        <v>29734</v>
      </c>
      <c r="N729" s="5">
        <v>0</v>
      </c>
      <c r="O729" s="5">
        <v>59511</v>
      </c>
      <c r="P729" s="5">
        <v>9598</v>
      </c>
      <c r="Q729">
        <v>5</v>
      </c>
      <c r="R729" t="s">
        <v>41</v>
      </c>
    </row>
    <row r="730" spans="1:18">
      <c r="A730" t="s">
        <v>789</v>
      </c>
      <c r="B730" s="4">
        <v>46218</v>
      </c>
      <c r="C730" t="s">
        <v>541</v>
      </c>
      <c r="D730" t="s">
        <v>231</v>
      </c>
      <c r="E730" t="s">
        <v>232</v>
      </c>
      <c r="F730" t="s">
        <v>39</v>
      </c>
      <c r="G730" t="s">
        <v>40</v>
      </c>
      <c r="H730">
        <v>2</v>
      </c>
      <c r="I730" s="5">
        <v>385269</v>
      </c>
      <c r="J730" s="5">
        <v>99025</v>
      </c>
      <c r="K730" s="5">
        <v>286244</v>
      </c>
      <c r="L730" s="5">
        <v>184426</v>
      </c>
      <c r="M730" s="5">
        <v>25838</v>
      </c>
      <c r="N730" s="5">
        <v>0</v>
      </c>
      <c r="O730" s="5">
        <v>60743</v>
      </c>
      <c r="P730" s="5">
        <v>15237</v>
      </c>
      <c r="Q730">
        <v>6</v>
      </c>
      <c r="R730" t="s">
        <v>41</v>
      </c>
    </row>
    <row r="731" spans="1:18">
      <c r="A731" t="s">
        <v>790</v>
      </c>
      <c r="B731" s="4">
        <v>46265</v>
      </c>
      <c r="C731" t="s">
        <v>541</v>
      </c>
      <c r="D731" t="s">
        <v>231</v>
      </c>
      <c r="E731" t="s">
        <v>234</v>
      </c>
      <c r="F731" t="s">
        <v>61</v>
      </c>
      <c r="G731" t="s">
        <v>43</v>
      </c>
      <c r="H731">
        <v>4</v>
      </c>
      <c r="I731" s="5">
        <v>165489</v>
      </c>
      <c r="J731" s="5">
        <v>28870</v>
      </c>
      <c r="K731" s="5">
        <v>136619</v>
      </c>
      <c r="L731" s="5">
        <v>91875</v>
      </c>
      <c r="M731" s="5">
        <v>8017</v>
      </c>
      <c r="N731" s="5">
        <v>0</v>
      </c>
      <c r="O731" s="5">
        <v>20824</v>
      </c>
      <c r="P731" s="5">
        <v>15903</v>
      </c>
      <c r="Q731">
        <v>6</v>
      </c>
      <c r="R731" t="s">
        <v>41</v>
      </c>
    </row>
    <row r="732" spans="1:18">
      <c r="A732" t="s">
        <v>791</v>
      </c>
      <c r="B732" s="4">
        <v>46255</v>
      </c>
      <c r="C732" t="s">
        <v>541</v>
      </c>
      <c r="D732" t="s">
        <v>231</v>
      </c>
      <c r="E732" t="s">
        <v>243</v>
      </c>
      <c r="F732" t="s">
        <v>51</v>
      </c>
      <c r="G732" t="s">
        <v>40</v>
      </c>
      <c r="H732">
        <v>1</v>
      </c>
      <c r="I732" s="5">
        <v>421435</v>
      </c>
      <c r="J732" s="5">
        <v>67561</v>
      </c>
      <c r="K732" s="5">
        <v>353874</v>
      </c>
      <c r="L732" s="5">
        <v>253818</v>
      </c>
      <c r="M732" s="5">
        <v>24893</v>
      </c>
      <c r="N732" s="5">
        <v>0</v>
      </c>
      <c r="O732" s="5">
        <v>62310</v>
      </c>
      <c r="P732" s="5">
        <v>12853</v>
      </c>
      <c r="Q732">
        <v>3</v>
      </c>
      <c r="R732" t="s">
        <v>41</v>
      </c>
    </row>
    <row r="733" spans="1:18">
      <c r="A733" t="s">
        <v>792</v>
      </c>
      <c r="B733" s="4">
        <v>46210</v>
      </c>
      <c r="C733" t="s">
        <v>541</v>
      </c>
      <c r="D733" t="s">
        <v>231</v>
      </c>
      <c r="E733" t="s">
        <v>234</v>
      </c>
      <c r="F733" t="s">
        <v>46</v>
      </c>
      <c r="G733" t="s">
        <v>40</v>
      </c>
      <c r="H733">
        <v>4</v>
      </c>
      <c r="I733" s="5">
        <v>186704</v>
      </c>
      <c r="J733" s="5">
        <v>41975</v>
      </c>
      <c r="K733" s="5">
        <v>144729</v>
      </c>
      <c r="L733" s="5">
        <v>90934</v>
      </c>
      <c r="M733" s="5">
        <v>7743</v>
      </c>
      <c r="N733" s="5">
        <v>0</v>
      </c>
      <c r="O733" s="5">
        <v>29225</v>
      </c>
      <c r="P733" s="5">
        <v>16827</v>
      </c>
      <c r="Q733">
        <v>3</v>
      </c>
      <c r="R733" t="s">
        <v>41</v>
      </c>
    </row>
    <row r="734" spans="1:18">
      <c r="A734" t="s">
        <v>793</v>
      </c>
      <c r="B734" s="4">
        <v>46269</v>
      </c>
      <c r="C734" t="s">
        <v>541</v>
      </c>
      <c r="D734" t="s">
        <v>231</v>
      </c>
      <c r="E734" t="s">
        <v>232</v>
      </c>
      <c r="F734" t="s">
        <v>51</v>
      </c>
      <c r="G734" t="s">
        <v>43</v>
      </c>
      <c r="H734">
        <v>1</v>
      </c>
      <c r="I734" s="5">
        <v>400787</v>
      </c>
      <c r="J734" s="5">
        <v>76838</v>
      </c>
      <c r="K734" s="5">
        <v>323949</v>
      </c>
      <c r="L734" s="5">
        <v>205876</v>
      </c>
      <c r="M734" s="5">
        <v>23107</v>
      </c>
      <c r="N734" s="5">
        <v>0</v>
      </c>
      <c r="O734" s="5">
        <v>70502</v>
      </c>
      <c r="P734" s="5">
        <v>24464</v>
      </c>
      <c r="Q734">
        <v>4</v>
      </c>
      <c r="R734" t="s">
        <v>41</v>
      </c>
    </row>
    <row r="735" spans="1:18">
      <c r="A735" t="s">
        <v>794</v>
      </c>
      <c r="B735" s="4">
        <v>46294</v>
      </c>
      <c r="C735" t="s">
        <v>541</v>
      </c>
      <c r="D735" t="s">
        <v>231</v>
      </c>
      <c r="E735" t="s">
        <v>239</v>
      </c>
      <c r="F735" t="s">
        <v>49</v>
      </c>
      <c r="G735" t="s">
        <v>40</v>
      </c>
      <c r="H735">
        <v>2</v>
      </c>
      <c r="I735" s="5">
        <v>399949</v>
      </c>
      <c r="J735" s="5">
        <v>117550</v>
      </c>
      <c r="K735" s="5">
        <v>282399</v>
      </c>
      <c r="L735" s="5">
        <v>187907</v>
      </c>
      <c r="M735" s="5">
        <v>24837</v>
      </c>
      <c r="N735" s="5">
        <v>0</v>
      </c>
      <c r="O735" s="5">
        <v>54830</v>
      </c>
      <c r="P735" s="5">
        <v>14825</v>
      </c>
      <c r="Q735">
        <v>1</v>
      </c>
      <c r="R735" t="s">
        <v>41</v>
      </c>
    </row>
    <row r="736" spans="1:18">
      <c r="A736" t="s">
        <v>795</v>
      </c>
      <c r="B736" s="4">
        <v>46208</v>
      </c>
      <c r="C736" t="s">
        <v>541</v>
      </c>
      <c r="D736" t="s">
        <v>231</v>
      </c>
      <c r="E736" t="s">
        <v>234</v>
      </c>
      <c r="F736" t="s">
        <v>51</v>
      </c>
      <c r="G736" t="s">
        <v>40</v>
      </c>
      <c r="H736">
        <v>4</v>
      </c>
      <c r="I736" s="5">
        <v>404959</v>
      </c>
      <c r="J736" s="5">
        <v>108028</v>
      </c>
      <c r="K736" s="5">
        <v>296931</v>
      </c>
      <c r="L736" s="5">
        <v>203562</v>
      </c>
      <c r="M736" s="5">
        <v>19103</v>
      </c>
      <c r="N736" s="5">
        <v>0</v>
      </c>
      <c r="O736" s="5">
        <v>53500</v>
      </c>
      <c r="P736" s="5">
        <v>20766</v>
      </c>
      <c r="Q736">
        <v>4</v>
      </c>
      <c r="R736" t="s">
        <v>41</v>
      </c>
    </row>
    <row r="737" spans="1:18">
      <c r="A737" t="s">
        <v>796</v>
      </c>
      <c r="B737" s="4">
        <v>46293</v>
      </c>
      <c r="C737" t="s">
        <v>541</v>
      </c>
      <c r="D737" t="s">
        <v>231</v>
      </c>
      <c r="E737" t="s">
        <v>232</v>
      </c>
      <c r="F737" t="s">
        <v>51</v>
      </c>
      <c r="G737" t="s">
        <v>43</v>
      </c>
      <c r="H737">
        <v>4</v>
      </c>
      <c r="I737" s="5">
        <v>174384</v>
      </c>
      <c r="J737" s="5">
        <v>42413</v>
      </c>
      <c r="K737" s="5">
        <v>131971</v>
      </c>
      <c r="L737" s="5">
        <v>93116</v>
      </c>
      <c r="M737" s="5">
        <v>9242</v>
      </c>
      <c r="N737" s="5">
        <v>0</v>
      </c>
      <c r="O737" s="5">
        <v>20521</v>
      </c>
      <c r="P737" s="5">
        <v>9092</v>
      </c>
      <c r="Q737">
        <v>4</v>
      </c>
      <c r="R737" t="s">
        <v>41</v>
      </c>
    </row>
    <row r="738" spans="1:18">
      <c r="A738" t="s">
        <v>797</v>
      </c>
      <c r="B738" s="4">
        <v>46239</v>
      </c>
      <c r="C738" t="s">
        <v>541</v>
      </c>
      <c r="D738" t="s">
        <v>231</v>
      </c>
      <c r="E738" t="s">
        <v>234</v>
      </c>
      <c r="F738" t="s">
        <v>46</v>
      </c>
      <c r="G738" t="s">
        <v>40</v>
      </c>
      <c r="H738">
        <v>3</v>
      </c>
      <c r="I738" s="5">
        <v>299011</v>
      </c>
      <c r="J738" s="5">
        <v>53391</v>
      </c>
      <c r="K738" s="5">
        <v>245620</v>
      </c>
      <c r="L738" s="5">
        <v>166450</v>
      </c>
      <c r="M738" s="5">
        <v>16278</v>
      </c>
      <c r="N738" s="5">
        <v>0</v>
      </c>
      <c r="O738" s="5">
        <v>42830</v>
      </c>
      <c r="P738" s="5">
        <v>20062</v>
      </c>
      <c r="Q738">
        <v>4</v>
      </c>
      <c r="R738" t="s">
        <v>41</v>
      </c>
    </row>
    <row r="739" spans="1:18">
      <c r="A739" t="s">
        <v>798</v>
      </c>
      <c r="B739" s="4">
        <v>46240</v>
      </c>
      <c r="C739" t="s">
        <v>541</v>
      </c>
      <c r="D739" t="s">
        <v>231</v>
      </c>
      <c r="E739" t="s">
        <v>243</v>
      </c>
      <c r="F739" t="s">
        <v>39</v>
      </c>
      <c r="G739" t="s">
        <v>40</v>
      </c>
      <c r="H739">
        <v>4</v>
      </c>
      <c r="I739" s="5">
        <v>418578</v>
      </c>
      <c r="J739" s="5">
        <v>99423</v>
      </c>
      <c r="K739" s="5">
        <v>319155</v>
      </c>
      <c r="L739" s="5">
        <v>209457</v>
      </c>
      <c r="M739" s="5">
        <v>26616</v>
      </c>
      <c r="N739" s="5">
        <v>0</v>
      </c>
      <c r="O739" s="5">
        <v>71931</v>
      </c>
      <c r="P739" s="5">
        <v>11151</v>
      </c>
      <c r="Q739">
        <v>4</v>
      </c>
      <c r="R739" t="s">
        <v>41</v>
      </c>
    </row>
    <row r="740" spans="1:18">
      <c r="A740" t="s">
        <v>799</v>
      </c>
      <c r="B740" s="4">
        <v>46274</v>
      </c>
      <c r="C740" t="s">
        <v>541</v>
      </c>
      <c r="D740" t="s">
        <v>231</v>
      </c>
      <c r="E740" t="s">
        <v>232</v>
      </c>
      <c r="F740" t="s">
        <v>39</v>
      </c>
      <c r="G740" t="s">
        <v>43</v>
      </c>
      <c r="H740">
        <v>6</v>
      </c>
      <c r="I740" s="5">
        <v>267492</v>
      </c>
      <c r="J740" s="5">
        <v>67920</v>
      </c>
      <c r="K740" s="5">
        <v>199572</v>
      </c>
      <c r="L740" s="5">
        <v>128679</v>
      </c>
      <c r="M740" s="5">
        <v>13030</v>
      </c>
      <c r="N740" s="5">
        <v>5515</v>
      </c>
      <c r="O740" s="5">
        <v>33323</v>
      </c>
      <c r="P740" s="5">
        <v>19025</v>
      </c>
      <c r="Q740">
        <v>8</v>
      </c>
      <c r="R740" t="s">
        <v>53</v>
      </c>
    </row>
    <row r="741" spans="1:18">
      <c r="A741" t="s">
        <v>800</v>
      </c>
      <c r="B741" s="4">
        <v>46239</v>
      </c>
      <c r="C741" t="s">
        <v>541</v>
      </c>
      <c r="D741" t="s">
        <v>231</v>
      </c>
      <c r="E741" t="s">
        <v>232</v>
      </c>
      <c r="F741" t="s">
        <v>49</v>
      </c>
      <c r="G741" t="s">
        <v>43</v>
      </c>
      <c r="H741">
        <v>1</v>
      </c>
      <c r="I741" s="5">
        <v>360256</v>
      </c>
      <c r="J741" s="5">
        <v>86911</v>
      </c>
      <c r="K741" s="5">
        <v>273345</v>
      </c>
      <c r="L741" s="5">
        <v>182142</v>
      </c>
      <c r="M741" s="5">
        <v>20919</v>
      </c>
      <c r="N741" s="5">
        <v>0</v>
      </c>
      <c r="O741" s="5">
        <v>45427</v>
      </c>
      <c r="P741" s="5">
        <v>24857</v>
      </c>
      <c r="Q741">
        <v>2</v>
      </c>
      <c r="R741" t="s">
        <v>41</v>
      </c>
    </row>
    <row r="742" spans="1:18">
      <c r="A742" t="s">
        <v>801</v>
      </c>
      <c r="B742" s="4">
        <v>46287</v>
      </c>
      <c r="C742" t="s">
        <v>541</v>
      </c>
      <c r="D742" t="s">
        <v>231</v>
      </c>
      <c r="E742" t="s">
        <v>232</v>
      </c>
      <c r="F742" t="s">
        <v>51</v>
      </c>
      <c r="G742" t="s">
        <v>43</v>
      </c>
      <c r="H742">
        <v>1</v>
      </c>
      <c r="I742" s="5">
        <v>356201</v>
      </c>
      <c r="J742" s="5">
        <v>83369</v>
      </c>
      <c r="K742" s="5">
        <v>272832</v>
      </c>
      <c r="L742" s="5">
        <v>195438</v>
      </c>
      <c r="M742" s="5">
        <v>16961</v>
      </c>
      <c r="N742" s="5">
        <v>0</v>
      </c>
      <c r="O742" s="5">
        <v>49291</v>
      </c>
      <c r="P742" s="5">
        <v>11142</v>
      </c>
      <c r="Q742">
        <v>4</v>
      </c>
      <c r="R742" t="s">
        <v>41</v>
      </c>
    </row>
    <row r="743" spans="1:18">
      <c r="A743" t="s">
        <v>802</v>
      </c>
      <c r="B743" s="4">
        <v>46229</v>
      </c>
      <c r="C743" t="s">
        <v>541</v>
      </c>
      <c r="D743" t="s">
        <v>231</v>
      </c>
      <c r="E743" t="s">
        <v>232</v>
      </c>
      <c r="F743" t="s">
        <v>61</v>
      </c>
      <c r="G743" t="s">
        <v>40</v>
      </c>
      <c r="H743">
        <v>2</v>
      </c>
      <c r="I743" s="5">
        <v>469720</v>
      </c>
      <c r="J743" s="5">
        <v>121769</v>
      </c>
      <c r="K743" s="5">
        <v>347951</v>
      </c>
      <c r="L743" s="5">
        <v>238200</v>
      </c>
      <c r="M743" s="5">
        <v>29827</v>
      </c>
      <c r="N743" s="5">
        <v>0</v>
      </c>
      <c r="O743" s="5">
        <v>67061</v>
      </c>
      <c r="P743" s="5">
        <v>12863</v>
      </c>
      <c r="Q743">
        <v>5</v>
      </c>
      <c r="R743" t="s">
        <v>41</v>
      </c>
    </row>
    <row r="744" spans="1:18">
      <c r="A744" t="s">
        <v>803</v>
      </c>
      <c r="B744" s="4">
        <v>46275</v>
      </c>
      <c r="C744" t="s">
        <v>541</v>
      </c>
      <c r="D744" t="s">
        <v>231</v>
      </c>
      <c r="E744" t="s">
        <v>234</v>
      </c>
      <c r="F744" t="s">
        <v>39</v>
      </c>
      <c r="G744" t="s">
        <v>43</v>
      </c>
      <c r="H744">
        <v>6</v>
      </c>
      <c r="I744" s="5">
        <v>262216</v>
      </c>
      <c r="J744" s="5">
        <v>45084</v>
      </c>
      <c r="K744" s="5">
        <v>217132</v>
      </c>
      <c r="L744" s="5">
        <v>150963</v>
      </c>
      <c r="M744" s="5">
        <v>17945</v>
      </c>
      <c r="N744" s="5">
        <v>0</v>
      </c>
      <c r="O744" s="5">
        <v>29665</v>
      </c>
      <c r="P744" s="5">
        <v>18559</v>
      </c>
      <c r="Q744">
        <v>6</v>
      </c>
      <c r="R744" t="s">
        <v>41</v>
      </c>
    </row>
    <row r="745" spans="1:18">
      <c r="A745" t="s">
        <v>804</v>
      </c>
      <c r="B745" s="4">
        <v>46268</v>
      </c>
      <c r="C745" t="s">
        <v>541</v>
      </c>
      <c r="D745" t="s">
        <v>231</v>
      </c>
      <c r="E745" t="s">
        <v>239</v>
      </c>
      <c r="F745" t="s">
        <v>51</v>
      </c>
      <c r="G745" t="s">
        <v>43</v>
      </c>
      <c r="H745">
        <v>6</v>
      </c>
      <c r="I745" s="5">
        <v>282891</v>
      </c>
      <c r="J745" s="5">
        <v>57798</v>
      </c>
      <c r="K745" s="5">
        <v>225093</v>
      </c>
      <c r="L745" s="5">
        <v>140706</v>
      </c>
      <c r="M745" s="5">
        <v>15742</v>
      </c>
      <c r="N745" s="5">
        <v>0</v>
      </c>
      <c r="O745" s="5">
        <v>48636</v>
      </c>
      <c r="P745" s="5">
        <v>20009</v>
      </c>
      <c r="Q745">
        <v>1</v>
      </c>
      <c r="R745" t="s">
        <v>41</v>
      </c>
    </row>
    <row r="746" spans="1:18">
      <c r="A746" t="s">
        <v>805</v>
      </c>
      <c r="B746" s="4">
        <v>46228</v>
      </c>
      <c r="C746" t="s">
        <v>541</v>
      </c>
      <c r="D746" t="s">
        <v>231</v>
      </c>
      <c r="E746" t="s">
        <v>243</v>
      </c>
      <c r="F746" t="s">
        <v>46</v>
      </c>
      <c r="G746" t="s">
        <v>40</v>
      </c>
      <c r="H746">
        <v>2</v>
      </c>
      <c r="I746" s="5">
        <v>236377</v>
      </c>
      <c r="J746" s="5">
        <v>58703</v>
      </c>
      <c r="K746" s="5">
        <v>177674</v>
      </c>
      <c r="L746" s="5">
        <v>127381</v>
      </c>
      <c r="M746" s="5">
        <v>10381</v>
      </c>
      <c r="N746" s="5">
        <v>0</v>
      </c>
      <c r="O746" s="5">
        <v>28528</v>
      </c>
      <c r="P746" s="5">
        <v>11384</v>
      </c>
      <c r="Q746">
        <v>4</v>
      </c>
      <c r="R746" t="s">
        <v>41</v>
      </c>
    </row>
    <row r="747" spans="1:18">
      <c r="A747" t="s">
        <v>806</v>
      </c>
      <c r="B747" s="4">
        <v>46230</v>
      </c>
      <c r="C747" t="s">
        <v>541</v>
      </c>
      <c r="D747" t="s">
        <v>231</v>
      </c>
      <c r="E747" t="s">
        <v>232</v>
      </c>
      <c r="F747" t="s">
        <v>61</v>
      </c>
      <c r="G747" t="s">
        <v>40</v>
      </c>
      <c r="H747">
        <v>5</v>
      </c>
      <c r="I747" s="5">
        <v>179550</v>
      </c>
      <c r="J747" s="5">
        <v>32569</v>
      </c>
      <c r="K747" s="5">
        <v>146981</v>
      </c>
      <c r="L747" s="5">
        <v>99633</v>
      </c>
      <c r="M747" s="5">
        <v>10310</v>
      </c>
      <c r="N747" s="5">
        <v>0</v>
      </c>
      <c r="O747" s="5">
        <v>26424</v>
      </c>
      <c r="P747" s="5">
        <v>10614</v>
      </c>
      <c r="Q747">
        <v>5</v>
      </c>
      <c r="R747" t="s">
        <v>41</v>
      </c>
    </row>
    <row r="748" spans="1:18">
      <c r="A748" t="s">
        <v>807</v>
      </c>
      <c r="B748" s="4">
        <v>46294</v>
      </c>
      <c r="C748" t="s">
        <v>541</v>
      </c>
      <c r="D748" t="s">
        <v>231</v>
      </c>
      <c r="E748" t="s">
        <v>234</v>
      </c>
      <c r="F748" t="s">
        <v>39</v>
      </c>
      <c r="G748" t="s">
        <v>40</v>
      </c>
      <c r="H748">
        <v>3</v>
      </c>
      <c r="I748" s="5">
        <v>259692</v>
      </c>
      <c r="J748" s="5">
        <v>59953</v>
      </c>
      <c r="K748" s="5">
        <v>199739</v>
      </c>
      <c r="L748" s="5">
        <v>143888</v>
      </c>
      <c r="M748" s="5">
        <v>17367</v>
      </c>
      <c r="N748" s="5">
        <v>0</v>
      </c>
      <c r="O748" s="5">
        <v>28290</v>
      </c>
      <c r="P748" s="5">
        <v>10194</v>
      </c>
      <c r="Q748">
        <v>7</v>
      </c>
      <c r="R748" t="s">
        <v>41</v>
      </c>
    </row>
    <row r="749" spans="1:18">
      <c r="A749" t="s">
        <v>808</v>
      </c>
      <c r="B749" s="4">
        <v>46209</v>
      </c>
      <c r="C749" t="s">
        <v>541</v>
      </c>
      <c r="D749" t="s">
        <v>231</v>
      </c>
      <c r="E749" t="s">
        <v>232</v>
      </c>
      <c r="F749" t="s">
        <v>39</v>
      </c>
      <c r="G749" t="s">
        <v>40</v>
      </c>
      <c r="H749">
        <v>3</v>
      </c>
      <c r="I749" s="5">
        <v>157841</v>
      </c>
      <c r="J749" s="5">
        <v>32909</v>
      </c>
      <c r="K749" s="5">
        <v>124932</v>
      </c>
      <c r="L749" s="5">
        <v>72376</v>
      </c>
      <c r="M749" s="5">
        <v>6434</v>
      </c>
      <c r="N749" s="5">
        <v>0</v>
      </c>
      <c r="O749" s="5">
        <v>25269</v>
      </c>
      <c r="P749" s="5">
        <v>20853</v>
      </c>
      <c r="Q749">
        <v>2</v>
      </c>
      <c r="R749" t="s">
        <v>41</v>
      </c>
    </row>
    <row r="750" spans="1:18">
      <c r="A750" t="s">
        <v>809</v>
      </c>
      <c r="B750" s="4">
        <v>46218</v>
      </c>
      <c r="C750" t="s">
        <v>541</v>
      </c>
      <c r="D750" t="s">
        <v>231</v>
      </c>
      <c r="E750" t="s">
        <v>239</v>
      </c>
      <c r="F750" t="s">
        <v>39</v>
      </c>
      <c r="G750" t="s">
        <v>43</v>
      </c>
      <c r="H750">
        <v>3</v>
      </c>
      <c r="I750" s="5">
        <v>362608</v>
      </c>
      <c r="J750" s="5">
        <v>82663</v>
      </c>
      <c r="K750" s="5">
        <v>279945</v>
      </c>
      <c r="L750" s="5">
        <v>203362</v>
      </c>
      <c r="M750" s="5">
        <v>26361</v>
      </c>
      <c r="N750" s="5">
        <v>0</v>
      </c>
      <c r="O750" s="5">
        <v>35002</v>
      </c>
      <c r="P750" s="5">
        <v>15220</v>
      </c>
      <c r="Q750">
        <v>4</v>
      </c>
      <c r="R750" t="s">
        <v>41</v>
      </c>
    </row>
    <row r="751" spans="1:18">
      <c r="A751" t="s">
        <v>810</v>
      </c>
      <c r="B751" s="4">
        <v>46282</v>
      </c>
      <c r="C751" t="s">
        <v>541</v>
      </c>
      <c r="D751" t="s">
        <v>231</v>
      </c>
      <c r="E751" t="s">
        <v>234</v>
      </c>
      <c r="F751" t="s">
        <v>39</v>
      </c>
      <c r="G751" t="s">
        <v>40</v>
      </c>
      <c r="H751">
        <v>6</v>
      </c>
      <c r="I751" s="5">
        <v>169536</v>
      </c>
      <c r="J751" s="5">
        <v>45335</v>
      </c>
      <c r="K751" s="5">
        <v>124201</v>
      </c>
      <c r="L751" s="5">
        <v>75455</v>
      </c>
      <c r="M751" s="5">
        <v>9194</v>
      </c>
      <c r="N751" s="5">
        <v>0</v>
      </c>
      <c r="O751" s="5">
        <v>18795</v>
      </c>
      <c r="P751" s="5">
        <v>20757</v>
      </c>
      <c r="Q751">
        <v>6</v>
      </c>
      <c r="R751" t="s">
        <v>41</v>
      </c>
    </row>
    <row r="752" spans="1:18">
      <c r="A752" t="s">
        <v>811</v>
      </c>
      <c r="B752" s="4">
        <v>46206</v>
      </c>
      <c r="C752" t="s">
        <v>541</v>
      </c>
      <c r="D752" t="s">
        <v>231</v>
      </c>
      <c r="E752" t="s">
        <v>239</v>
      </c>
      <c r="F752" t="s">
        <v>46</v>
      </c>
      <c r="G752" t="s">
        <v>43</v>
      </c>
      <c r="H752">
        <v>6</v>
      </c>
      <c r="I752" s="5">
        <v>229399</v>
      </c>
      <c r="J752" s="5">
        <v>56490</v>
      </c>
      <c r="K752" s="5">
        <v>172909</v>
      </c>
      <c r="L752" s="5">
        <v>103237</v>
      </c>
      <c r="M752" s="5">
        <v>14548</v>
      </c>
      <c r="N752" s="5">
        <v>0</v>
      </c>
      <c r="O752" s="5">
        <v>29753</v>
      </c>
      <c r="P752" s="5">
        <v>25371</v>
      </c>
      <c r="Q752">
        <v>1</v>
      </c>
      <c r="R752" t="s">
        <v>41</v>
      </c>
    </row>
    <row r="753" spans="1:18">
      <c r="A753" t="s">
        <v>812</v>
      </c>
      <c r="B753" s="4">
        <v>46278</v>
      </c>
      <c r="C753" t="s">
        <v>541</v>
      </c>
      <c r="D753" t="s">
        <v>231</v>
      </c>
      <c r="E753" t="s">
        <v>243</v>
      </c>
      <c r="F753" t="s">
        <v>51</v>
      </c>
      <c r="G753" t="s">
        <v>43</v>
      </c>
      <c r="H753">
        <v>2</v>
      </c>
      <c r="I753" s="5">
        <v>215815</v>
      </c>
      <c r="J753" s="5">
        <v>41128</v>
      </c>
      <c r="K753" s="5">
        <v>174687</v>
      </c>
      <c r="L753" s="5">
        <v>124103</v>
      </c>
      <c r="M753" s="5">
        <v>11335</v>
      </c>
      <c r="N753" s="5">
        <v>0</v>
      </c>
      <c r="O753" s="5">
        <v>29261</v>
      </c>
      <c r="P753" s="5">
        <v>9988</v>
      </c>
      <c r="Q753">
        <v>3</v>
      </c>
      <c r="R753" t="s">
        <v>41</v>
      </c>
    </row>
    <row r="754" spans="1:18">
      <c r="A754" t="s">
        <v>813</v>
      </c>
      <c r="B754" s="4">
        <v>46262</v>
      </c>
      <c r="C754" t="s">
        <v>541</v>
      </c>
      <c r="D754" t="s">
        <v>231</v>
      </c>
      <c r="E754" t="s">
        <v>232</v>
      </c>
      <c r="F754" t="s">
        <v>51</v>
      </c>
      <c r="G754" t="s">
        <v>40</v>
      </c>
      <c r="H754">
        <v>5</v>
      </c>
      <c r="I754" s="5">
        <v>357971</v>
      </c>
      <c r="J754" s="5">
        <v>77063</v>
      </c>
      <c r="K754" s="5">
        <v>280908</v>
      </c>
      <c r="L754" s="5">
        <v>177942</v>
      </c>
      <c r="M754" s="5">
        <v>20315</v>
      </c>
      <c r="N754" s="5">
        <v>0</v>
      </c>
      <c r="O754" s="5">
        <v>58385</v>
      </c>
      <c r="P754" s="5">
        <v>24266</v>
      </c>
      <c r="Q754">
        <v>2</v>
      </c>
      <c r="R754" t="s">
        <v>41</v>
      </c>
    </row>
    <row r="755" spans="1:18">
      <c r="A755" t="s">
        <v>814</v>
      </c>
      <c r="B755" s="4">
        <v>46226</v>
      </c>
      <c r="C755" t="s">
        <v>541</v>
      </c>
      <c r="D755" t="s">
        <v>231</v>
      </c>
      <c r="E755" t="s">
        <v>243</v>
      </c>
      <c r="F755" t="s">
        <v>49</v>
      </c>
      <c r="G755" t="s">
        <v>40</v>
      </c>
      <c r="H755">
        <v>1</v>
      </c>
      <c r="I755" s="5">
        <v>225757</v>
      </c>
      <c r="J755" s="5">
        <v>36912</v>
      </c>
      <c r="K755" s="5">
        <v>188845</v>
      </c>
      <c r="L755" s="5">
        <v>121936</v>
      </c>
      <c r="M755" s="5">
        <v>10048</v>
      </c>
      <c r="N755" s="5">
        <v>0</v>
      </c>
      <c r="O755" s="5">
        <v>33179</v>
      </c>
      <c r="P755" s="5">
        <v>23682</v>
      </c>
      <c r="Q755">
        <v>4</v>
      </c>
      <c r="R755" t="s">
        <v>41</v>
      </c>
    </row>
    <row r="756" spans="1:18">
      <c r="A756" t="s">
        <v>815</v>
      </c>
      <c r="B756" s="4">
        <v>46271</v>
      </c>
      <c r="C756" t="s">
        <v>541</v>
      </c>
      <c r="D756" t="s">
        <v>231</v>
      </c>
      <c r="E756" t="s">
        <v>232</v>
      </c>
      <c r="F756" t="s">
        <v>61</v>
      </c>
      <c r="G756" t="s">
        <v>40</v>
      </c>
      <c r="H756">
        <v>4</v>
      </c>
      <c r="I756" s="5">
        <v>360114</v>
      </c>
      <c r="J756" s="5">
        <v>87467</v>
      </c>
      <c r="K756" s="5">
        <v>272647</v>
      </c>
      <c r="L756" s="5">
        <v>188304</v>
      </c>
      <c r="M756" s="5">
        <v>22411</v>
      </c>
      <c r="N756" s="5">
        <v>0</v>
      </c>
      <c r="O756" s="5">
        <v>50473</v>
      </c>
      <c r="P756" s="5">
        <v>11459</v>
      </c>
      <c r="Q756">
        <v>6</v>
      </c>
      <c r="R756" t="s">
        <v>41</v>
      </c>
    </row>
    <row r="757" spans="1:18">
      <c r="A757" t="s">
        <v>816</v>
      </c>
      <c r="B757" s="4">
        <v>46220</v>
      </c>
      <c r="C757" t="s">
        <v>541</v>
      </c>
      <c r="D757" t="s">
        <v>231</v>
      </c>
      <c r="E757" t="s">
        <v>232</v>
      </c>
      <c r="F757" t="s">
        <v>61</v>
      </c>
      <c r="G757" t="s">
        <v>43</v>
      </c>
      <c r="H757">
        <v>2</v>
      </c>
      <c r="I757" s="5">
        <v>166480</v>
      </c>
      <c r="J757" s="5">
        <v>34527</v>
      </c>
      <c r="K757" s="5">
        <v>131953</v>
      </c>
      <c r="L757" s="5">
        <v>79022</v>
      </c>
      <c r="M757" s="5">
        <v>10813</v>
      </c>
      <c r="N757" s="5">
        <v>0</v>
      </c>
      <c r="O757" s="5">
        <v>26166</v>
      </c>
      <c r="P757" s="5">
        <v>15952</v>
      </c>
      <c r="Q757">
        <v>5</v>
      </c>
      <c r="R757" t="s">
        <v>41</v>
      </c>
    </row>
    <row r="758" spans="1:18">
      <c r="A758" t="s">
        <v>817</v>
      </c>
      <c r="B758" s="4">
        <v>46273</v>
      </c>
      <c r="C758" t="s">
        <v>541</v>
      </c>
      <c r="D758" t="s">
        <v>231</v>
      </c>
      <c r="E758" t="s">
        <v>234</v>
      </c>
      <c r="F758" t="s">
        <v>61</v>
      </c>
      <c r="G758" t="s">
        <v>40</v>
      </c>
      <c r="H758">
        <v>2</v>
      </c>
      <c r="I758" s="5">
        <v>456575</v>
      </c>
      <c r="J758" s="5">
        <v>120479</v>
      </c>
      <c r="K758" s="5">
        <v>336096</v>
      </c>
      <c r="L758" s="5">
        <v>237103</v>
      </c>
      <c r="M758" s="5">
        <v>19053</v>
      </c>
      <c r="N758" s="5">
        <v>0</v>
      </c>
      <c r="O758" s="5">
        <v>59428</v>
      </c>
      <c r="P758" s="5">
        <v>20512</v>
      </c>
      <c r="Q758">
        <v>3</v>
      </c>
      <c r="R758" t="s">
        <v>41</v>
      </c>
    </row>
    <row r="759" spans="1:18">
      <c r="A759" t="s">
        <v>818</v>
      </c>
      <c r="B759" s="4">
        <v>46223</v>
      </c>
      <c r="C759" t="s">
        <v>541</v>
      </c>
      <c r="D759" t="s">
        <v>231</v>
      </c>
      <c r="E759" t="s">
        <v>232</v>
      </c>
      <c r="F759" t="s">
        <v>61</v>
      </c>
      <c r="G759" t="s">
        <v>43</v>
      </c>
      <c r="H759">
        <v>6</v>
      </c>
      <c r="I759" s="5">
        <v>268006</v>
      </c>
      <c r="J759" s="5">
        <v>46985</v>
      </c>
      <c r="K759" s="5">
        <v>221021</v>
      </c>
      <c r="L759" s="5">
        <v>146733</v>
      </c>
      <c r="M759" s="5">
        <v>13557</v>
      </c>
      <c r="N759" s="5">
        <v>0</v>
      </c>
      <c r="O759" s="5">
        <v>43509</v>
      </c>
      <c r="P759" s="5">
        <v>17222</v>
      </c>
      <c r="Q759">
        <v>4</v>
      </c>
      <c r="R759" t="s">
        <v>41</v>
      </c>
    </row>
    <row r="760" spans="1:18">
      <c r="A760" t="s">
        <v>819</v>
      </c>
      <c r="B760" s="4">
        <v>46257</v>
      </c>
      <c r="C760" t="s">
        <v>541</v>
      </c>
      <c r="D760" t="s">
        <v>231</v>
      </c>
      <c r="E760" t="s">
        <v>232</v>
      </c>
      <c r="F760" t="s">
        <v>61</v>
      </c>
      <c r="G760" t="s">
        <v>40</v>
      </c>
      <c r="H760">
        <v>1</v>
      </c>
      <c r="I760" s="5">
        <v>390724</v>
      </c>
      <c r="J760" s="5">
        <v>83233</v>
      </c>
      <c r="K760" s="5">
        <v>307491</v>
      </c>
      <c r="L760" s="5">
        <v>198163</v>
      </c>
      <c r="M760" s="5">
        <v>23694</v>
      </c>
      <c r="N760" s="5">
        <v>18963</v>
      </c>
      <c r="O760" s="5">
        <v>48889</v>
      </c>
      <c r="P760" s="5">
        <v>17782</v>
      </c>
      <c r="Q760">
        <v>4</v>
      </c>
      <c r="R760" t="s">
        <v>53</v>
      </c>
    </row>
    <row r="761" spans="1:18">
      <c r="A761" t="s">
        <v>820</v>
      </c>
      <c r="B761" s="4">
        <v>46291</v>
      </c>
      <c r="C761" t="s">
        <v>541</v>
      </c>
      <c r="D761" t="s">
        <v>231</v>
      </c>
      <c r="E761" t="s">
        <v>243</v>
      </c>
      <c r="F761" t="s">
        <v>61</v>
      </c>
      <c r="G761" t="s">
        <v>43</v>
      </c>
      <c r="H761">
        <v>2</v>
      </c>
      <c r="I761" s="5">
        <v>312901</v>
      </c>
      <c r="J761" s="5">
        <v>70416</v>
      </c>
      <c r="K761" s="5">
        <v>242485</v>
      </c>
      <c r="L761" s="5">
        <v>155613</v>
      </c>
      <c r="M761" s="5">
        <v>15625</v>
      </c>
      <c r="N761" s="5">
        <v>0</v>
      </c>
      <c r="O761" s="5">
        <v>47382</v>
      </c>
      <c r="P761" s="5">
        <v>23865</v>
      </c>
      <c r="Q761">
        <v>6</v>
      </c>
      <c r="R761" t="s">
        <v>41</v>
      </c>
    </row>
    <row r="762" spans="1:18">
      <c r="A762" t="s">
        <v>821</v>
      </c>
      <c r="B762" s="4">
        <v>46250</v>
      </c>
      <c r="C762" t="s">
        <v>541</v>
      </c>
      <c r="D762" t="s">
        <v>231</v>
      </c>
      <c r="E762" t="s">
        <v>239</v>
      </c>
      <c r="F762" t="s">
        <v>61</v>
      </c>
      <c r="G762" t="s">
        <v>40</v>
      </c>
      <c r="H762">
        <v>2</v>
      </c>
      <c r="I762" s="5">
        <v>478850</v>
      </c>
      <c r="J762" s="5">
        <v>117279</v>
      </c>
      <c r="K762" s="5">
        <v>361571</v>
      </c>
      <c r="L762" s="5">
        <v>262673</v>
      </c>
      <c r="M762" s="5">
        <v>24437</v>
      </c>
      <c r="N762" s="5">
        <v>14863</v>
      </c>
      <c r="O762" s="5">
        <v>40906</v>
      </c>
      <c r="P762" s="5">
        <v>18692</v>
      </c>
      <c r="Q762">
        <v>4</v>
      </c>
      <c r="R762" t="s">
        <v>53</v>
      </c>
    </row>
    <row r="763" spans="1:18">
      <c r="A763" t="s">
        <v>822</v>
      </c>
      <c r="B763" s="4">
        <v>46291</v>
      </c>
      <c r="C763" t="s">
        <v>541</v>
      </c>
      <c r="D763" t="s">
        <v>231</v>
      </c>
      <c r="E763" t="s">
        <v>234</v>
      </c>
      <c r="F763" t="s">
        <v>49</v>
      </c>
      <c r="G763" t="s">
        <v>43</v>
      </c>
      <c r="H763">
        <v>3</v>
      </c>
      <c r="I763" s="5">
        <v>363825</v>
      </c>
      <c r="J763" s="5">
        <v>69679</v>
      </c>
      <c r="K763" s="5">
        <v>294146</v>
      </c>
      <c r="L763" s="5">
        <v>190032</v>
      </c>
      <c r="M763" s="5">
        <v>21016</v>
      </c>
      <c r="N763" s="5">
        <v>0</v>
      </c>
      <c r="O763" s="5">
        <v>61861</v>
      </c>
      <c r="P763" s="5">
        <v>21237</v>
      </c>
      <c r="Q763">
        <v>5</v>
      </c>
      <c r="R763" t="s">
        <v>41</v>
      </c>
    </row>
    <row r="764" spans="1:18">
      <c r="A764" t="s">
        <v>823</v>
      </c>
      <c r="B764" s="4">
        <v>46295</v>
      </c>
      <c r="C764" t="s">
        <v>541</v>
      </c>
      <c r="D764" t="s">
        <v>231</v>
      </c>
      <c r="E764" t="s">
        <v>239</v>
      </c>
      <c r="F764" t="s">
        <v>61</v>
      </c>
      <c r="G764" t="s">
        <v>40</v>
      </c>
      <c r="H764">
        <v>6</v>
      </c>
      <c r="I764" s="5">
        <v>412017</v>
      </c>
      <c r="J764" s="5">
        <v>98773</v>
      </c>
      <c r="K764" s="5">
        <v>313244</v>
      </c>
      <c r="L764" s="5">
        <v>211454</v>
      </c>
      <c r="M764" s="5">
        <v>21807</v>
      </c>
      <c r="N764" s="5">
        <v>0</v>
      </c>
      <c r="O764" s="5">
        <v>58427</v>
      </c>
      <c r="P764" s="5">
        <v>21556</v>
      </c>
      <c r="Q764">
        <v>3</v>
      </c>
      <c r="R764" t="s">
        <v>41</v>
      </c>
    </row>
    <row r="765" spans="1:18">
      <c r="A765" t="s">
        <v>824</v>
      </c>
      <c r="B765" s="4">
        <v>46212</v>
      </c>
      <c r="C765" t="s">
        <v>541</v>
      </c>
      <c r="D765" t="s">
        <v>231</v>
      </c>
      <c r="E765" t="s">
        <v>239</v>
      </c>
      <c r="F765" t="s">
        <v>49</v>
      </c>
      <c r="G765" t="s">
        <v>43</v>
      </c>
      <c r="H765">
        <v>6</v>
      </c>
      <c r="I765" s="5">
        <v>449224</v>
      </c>
      <c r="J765" s="5">
        <v>104209</v>
      </c>
      <c r="K765" s="5">
        <v>345015</v>
      </c>
      <c r="L765" s="5">
        <v>230826</v>
      </c>
      <c r="M765" s="5">
        <v>29445</v>
      </c>
      <c r="N765" s="5">
        <v>0</v>
      </c>
      <c r="O765" s="5">
        <v>60231</v>
      </c>
      <c r="P765" s="5">
        <v>24513</v>
      </c>
      <c r="Q765">
        <v>5</v>
      </c>
      <c r="R765" t="s">
        <v>41</v>
      </c>
    </row>
    <row r="766" spans="1:18">
      <c r="A766" t="s">
        <v>825</v>
      </c>
      <c r="B766" s="4">
        <v>46244</v>
      </c>
      <c r="C766" t="s">
        <v>541</v>
      </c>
      <c r="D766" t="s">
        <v>231</v>
      </c>
      <c r="E766" t="s">
        <v>243</v>
      </c>
      <c r="F766" t="s">
        <v>46</v>
      </c>
      <c r="G766" t="s">
        <v>43</v>
      </c>
      <c r="H766">
        <v>6</v>
      </c>
      <c r="I766" s="5">
        <v>331381</v>
      </c>
      <c r="J766" s="5">
        <v>72005</v>
      </c>
      <c r="K766" s="5">
        <v>259376</v>
      </c>
      <c r="L766" s="5">
        <v>181460</v>
      </c>
      <c r="M766" s="5">
        <v>15863</v>
      </c>
      <c r="N766" s="5">
        <v>0</v>
      </c>
      <c r="O766" s="5">
        <v>38484</v>
      </c>
      <c r="P766" s="5">
        <v>23569</v>
      </c>
      <c r="Q766">
        <v>5</v>
      </c>
      <c r="R766" t="s">
        <v>41</v>
      </c>
    </row>
    <row r="767" spans="1:18">
      <c r="A767" t="s">
        <v>826</v>
      </c>
      <c r="B767" s="4">
        <v>46235</v>
      </c>
      <c r="C767" t="s">
        <v>541</v>
      </c>
      <c r="D767" t="s">
        <v>231</v>
      </c>
      <c r="E767" t="s">
        <v>243</v>
      </c>
      <c r="F767" t="s">
        <v>46</v>
      </c>
      <c r="G767" t="s">
        <v>43</v>
      </c>
      <c r="H767">
        <v>5</v>
      </c>
      <c r="I767" s="5">
        <v>248790</v>
      </c>
      <c r="J767" s="5">
        <v>66378</v>
      </c>
      <c r="K767" s="5">
        <v>182412</v>
      </c>
      <c r="L767" s="5">
        <v>126760</v>
      </c>
      <c r="M767" s="5">
        <v>11266</v>
      </c>
      <c r="N767" s="5">
        <v>0</v>
      </c>
      <c r="O767" s="5">
        <v>33900</v>
      </c>
      <c r="P767" s="5">
        <v>10486</v>
      </c>
      <c r="Q767">
        <v>4</v>
      </c>
      <c r="R767" t="s">
        <v>41</v>
      </c>
    </row>
    <row r="768" spans="1:18">
      <c r="A768" t="s">
        <v>827</v>
      </c>
      <c r="B768" s="4">
        <v>46257</v>
      </c>
      <c r="C768" t="s">
        <v>541</v>
      </c>
      <c r="D768" t="s">
        <v>231</v>
      </c>
      <c r="E768" t="s">
        <v>232</v>
      </c>
      <c r="F768" t="s">
        <v>61</v>
      </c>
      <c r="G768" t="s">
        <v>40</v>
      </c>
      <c r="H768">
        <v>3</v>
      </c>
      <c r="I768" s="5">
        <v>175480</v>
      </c>
      <c r="J768" s="5">
        <v>31202</v>
      </c>
      <c r="K768" s="5">
        <v>144278</v>
      </c>
      <c r="L768" s="5">
        <v>94857</v>
      </c>
      <c r="M768" s="5">
        <v>9484</v>
      </c>
      <c r="N768" s="5">
        <v>0</v>
      </c>
      <c r="O768" s="5">
        <v>21477</v>
      </c>
      <c r="P768" s="5">
        <v>18460</v>
      </c>
      <c r="Q768">
        <v>4</v>
      </c>
      <c r="R768" t="s">
        <v>41</v>
      </c>
    </row>
    <row r="769" spans="1:18">
      <c r="A769" t="s">
        <v>828</v>
      </c>
      <c r="B769" s="4">
        <v>46218</v>
      </c>
      <c r="C769" t="s">
        <v>541</v>
      </c>
      <c r="D769" t="s">
        <v>231</v>
      </c>
      <c r="E769" t="s">
        <v>239</v>
      </c>
      <c r="F769" t="s">
        <v>39</v>
      </c>
      <c r="G769" t="s">
        <v>43</v>
      </c>
      <c r="H769">
        <v>2</v>
      </c>
      <c r="I769" s="5">
        <v>294087</v>
      </c>
      <c r="J769" s="5">
        <v>94108</v>
      </c>
      <c r="K769" s="5">
        <v>199979</v>
      </c>
      <c r="L769" s="5">
        <v>121074</v>
      </c>
      <c r="M769" s="5">
        <v>14626</v>
      </c>
      <c r="N769" s="5">
        <v>0</v>
      </c>
      <c r="O769" s="5">
        <v>41948</v>
      </c>
      <c r="P769" s="5">
        <v>22331</v>
      </c>
      <c r="Q769">
        <v>4</v>
      </c>
      <c r="R769" t="s">
        <v>41</v>
      </c>
    </row>
    <row r="770" spans="1:18">
      <c r="A770" t="s">
        <v>829</v>
      </c>
      <c r="B770" s="4">
        <v>46235</v>
      </c>
      <c r="C770" t="s">
        <v>541</v>
      </c>
      <c r="D770" t="s">
        <v>231</v>
      </c>
      <c r="E770" t="s">
        <v>232</v>
      </c>
      <c r="F770" t="s">
        <v>51</v>
      </c>
      <c r="G770" t="s">
        <v>40</v>
      </c>
      <c r="H770">
        <v>6</v>
      </c>
      <c r="I770" s="5">
        <v>349290</v>
      </c>
      <c r="J770" s="5">
        <v>74953</v>
      </c>
      <c r="K770" s="5">
        <v>274337</v>
      </c>
      <c r="L770" s="5">
        <v>190499</v>
      </c>
      <c r="M770" s="5">
        <v>24888</v>
      </c>
      <c r="N770" s="5">
        <v>0</v>
      </c>
      <c r="O770" s="5">
        <v>36331</v>
      </c>
      <c r="P770" s="5">
        <v>22619</v>
      </c>
      <c r="Q770">
        <v>5</v>
      </c>
      <c r="R770" t="s">
        <v>41</v>
      </c>
    </row>
    <row r="771" spans="1:18">
      <c r="A771" t="s">
        <v>830</v>
      </c>
      <c r="B771" s="4">
        <v>46251</v>
      </c>
      <c r="C771" t="s">
        <v>541</v>
      </c>
      <c r="D771" t="s">
        <v>231</v>
      </c>
      <c r="E771" t="s">
        <v>239</v>
      </c>
      <c r="F771" t="s">
        <v>61</v>
      </c>
      <c r="G771" t="s">
        <v>40</v>
      </c>
      <c r="H771">
        <v>4</v>
      </c>
      <c r="I771" s="5">
        <v>298559</v>
      </c>
      <c r="J771" s="5">
        <v>83004</v>
      </c>
      <c r="K771" s="5">
        <v>215555</v>
      </c>
      <c r="L771" s="5">
        <v>150395</v>
      </c>
      <c r="M771" s="5">
        <v>15193</v>
      </c>
      <c r="N771" s="5">
        <v>13878</v>
      </c>
      <c r="O771" s="5">
        <v>22854</v>
      </c>
      <c r="P771" s="5">
        <v>13235</v>
      </c>
      <c r="Q771">
        <v>8</v>
      </c>
      <c r="R771" t="s">
        <v>53</v>
      </c>
    </row>
    <row r="772" spans="1:18">
      <c r="A772" t="s">
        <v>831</v>
      </c>
      <c r="B772" s="4">
        <v>46276</v>
      </c>
      <c r="C772" t="s">
        <v>541</v>
      </c>
      <c r="D772" t="s">
        <v>231</v>
      </c>
      <c r="E772" t="s">
        <v>243</v>
      </c>
      <c r="F772" t="s">
        <v>51</v>
      </c>
      <c r="G772" t="s">
        <v>40</v>
      </c>
      <c r="H772">
        <v>4</v>
      </c>
      <c r="I772" s="5">
        <v>465083</v>
      </c>
      <c r="J772" s="5">
        <v>119503</v>
      </c>
      <c r="K772" s="5">
        <v>345580</v>
      </c>
      <c r="L772" s="5">
        <v>227596</v>
      </c>
      <c r="M772" s="5">
        <v>24872</v>
      </c>
      <c r="N772" s="5">
        <v>11028</v>
      </c>
      <c r="O772" s="5">
        <v>69873</v>
      </c>
      <c r="P772" s="5">
        <v>12211</v>
      </c>
      <c r="Q772">
        <v>1</v>
      </c>
      <c r="R772" t="s">
        <v>53</v>
      </c>
    </row>
    <row r="773" spans="1:18">
      <c r="A773" t="s">
        <v>832</v>
      </c>
      <c r="B773" s="4">
        <v>46247</v>
      </c>
      <c r="C773" t="s">
        <v>541</v>
      </c>
      <c r="D773" t="s">
        <v>231</v>
      </c>
      <c r="E773" t="s">
        <v>243</v>
      </c>
      <c r="F773" t="s">
        <v>61</v>
      </c>
      <c r="G773" t="s">
        <v>43</v>
      </c>
      <c r="H773">
        <v>1</v>
      </c>
      <c r="I773" s="5">
        <v>394232</v>
      </c>
      <c r="J773" s="5">
        <v>85804</v>
      </c>
      <c r="K773" s="5">
        <v>308428</v>
      </c>
      <c r="L773" s="5">
        <v>213162</v>
      </c>
      <c r="M773" s="5">
        <v>20654</v>
      </c>
      <c r="N773" s="5">
        <v>0</v>
      </c>
      <c r="O773" s="5">
        <v>53128</v>
      </c>
      <c r="P773" s="5">
        <v>21484</v>
      </c>
      <c r="Q773">
        <v>1</v>
      </c>
      <c r="R773" t="s">
        <v>41</v>
      </c>
    </row>
    <row r="774" spans="1:18">
      <c r="A774" t="s">
        <v>833</v>
      </c>
      <c r="B774" s="4">
        <v>46205</v>
      </c>
      <c r="C774" t="s">
        <v>541</v>
      </c>
      <c r="D774" t="s">
        <v>231</v>
      </c>
      <c r="E774" t="s">
        <v>243</v>
      </c>
      <c r="F774" t="s">
        <v>46</v>
      </c>
      <c r="G774" t="s">
        <v>43</v>
      </c>
      <c r="H774">
        <v>5</v>
      </c>
      <c r="I774" s="5">
        <v>207565</v>
      </c>
      <c r="J774" s="5">
        <v>54023</v>
      </c>
      <c r="K774" s="5">
        <v>153542</v>
      </c>
      <c r="L774" s="5">
        <v>90760</v>
      </c>
      <c r="M774" s="5">
        <v>11967</v>
      </c>
      <c r="N774" s="5">
        <v>0</v>
      </c>
      <c r="O774" s="5">
        <v>30179</v>
      </c>
      <c r="P774" s="5">
        <v>20636</v>
      </c>
      <c r="Q774">
        <v>7</v>
      </c>
      <c r="R774" t="s">
        <v>41</v>
      </c>
    </row>
    <row r="775" spans="1:18">
      <c r="A775" t="s">
        <v>834</v>
      </c>
      <c r="B775" s="4">
        <v>46224</v>
      </c>
      <c r="C775" t="s">
        <v>541</v>
      </c>
      <c r="D775" t="s">
        <v>231</v>
      </c>
      <c r="E775" t="s">
        <v>234</v>
      </c>
      <c r="F775" t="s">
        <v>61</v>
      </c>
      <c r="G775" t="s">
        <v>43</v>
      </c>
      <c r="H775">
        <v>2</v>
      </c>
      <c r="I775" s="5">
        <v>208301</v>
      </c>
      <c r="J775" s="5">
        <v>44474</v>
      </c>
      <c r="K775" s="5">
        <v>163827</v>
      </c>
      <c r="L775" s="5">
        <v>113461</v>
      </c>
      <c r="M775" s="5">
        <v>11205</v>
      </c>
      <c r="N775" s="5">
        <v>0</v>
      </c>
      <c r="O775" s="5">
        <v>30445</v>
      </c>
      <c r="P775" s="5">
        <v>8716</v>
      </c>
      <c r="Q775">
        <v>3</v>
      </c>
      <c r="R775" t="s">
        <v>41</v>
      </c>
    </row>
    <row r="776" spans="1:18">
      <c r="A776" t="s">
        <v>835</v>
      </c>
      <c r="B776" s="4">
        <v>46275</v>
      </c>
      <c r="C776" t="s">
        <v>541</v>
      </c>
      <c r="D776" t="s">
        <v>231</v>
      </c>
      <c r="E776" t="s">
        <v>239</v>
      </c>
      <c r="F776" t="s">
        <v>46</v>
      </c>
      <c r="G776" t="s">
        <v>43</v>
      </c>
      <c r="H776">
        <v>3</v>
      </c>
      <c r="I776" s="5">
        <v>391640</v>
      </c>
      <c r="J776" s="5">
        <v>85563</v>
      </c>
      <c r="K776" s="5">
        <v>306077</v>
      </c>
      <c r="L776" s="5">
        <v>201794</v>
      </c>
      <c r="M776" s="5">
        <v>22296</v>
      </c>
      <c r="N776" s="5">
        <v>0</v>
      </c>
      <c r="O776" s="5">
        <v>70483</v>
      </c>
      <c r="P776" s="5">
        <v>11504</v>
      </c>
      <c r="Q776">
        <v>2</v>
      </c>
      <c r="R776" t="s">
        <v>41</v>
      </c>
    </row>
    <row r="777" spans="1:18">
      <c r="A777" t="s">
        <v>836</v>
      </c>
      <c r="B777" s="4">
        <v>46258</v>
      </c>
      <c r="C777" t="s">
        <v>541</v>
      </c>
      <c r="D777" t="s">
        <v>231</v>
      </c>
      <c r="E777" t="s">
        <v>232</v>
      </c>
      <c r="F777" t="s">
        <v>39</v>
      </c>
      <c r="G777" t="s">
        <v>40</v>
      </c>
      <c r="H777">
        <v>1</v>
      </c>
      <c r="I777" s="5">
        <v>359917</v>
      </c>
      <c r="J777" s="5">
        <v>71813</v>
      </c>
      <c r="K777" s="5">
        <v>288104</v>
      </c>
      <c r="L777" s="5">
        <v>193585</v>
      </c>
      <c r="M777" s="5">
        <v>16854</v>
      </c>
      <c r="N777" s="5">
        <v>0</v>
      </c>
      <c r="O777" s="5">
        <v>60597</v>
      </c>
      <c r="P777" s="5">
        <v>17068</v>
      </c>
      <c r="Q777">
        <v>3</v>
      </c>
      <c r="R777" t="s">
        <v>41</v>
      </c>
    </row>
    <row r="778" spans="1:18">
      <c r="A778" t="s">
        <v>837</v>
      </c>
      <c r="B778" s="4">
        <v>46273</v>
      </c>
      <c r="C778" t="s">
        <v>541</v>
      </c>
      <c r="D778" t="s">
        <v>231</v>
      </c>
      <c r="E778" t="s">
        <v>239</v>
      </c>
      <c r="F778" t="s">
        <v>61</v>
      </c>
      <c r="G778" t="s">
        <v>40</v>
      </c>
      <c r="H778">
        <v>5</v>
      </c>
      <c r="I778" s="5">
        <v>485848</v>
      </c>
      <c r="J778" s="5">
        <v>127298</v>
      </c>
      <c r="K778" s="5">
        <v>358550</v>
      </c>
      <c r="L778" s="5">
        <v>263365</v>
      </c>
      <c r="M778" s="5">
        <v>21287</v>
      </c>
      <c r="N778" s="5">
        <v>0</v>
      </c>
      <c r="O778" s="5">
        <v>63625</v>
      </c>
      <c r="P778" s="5">
        <v>10273</v>
      </c>
      <c r="Q778">
        <v>5</v>
      </c>
      <c r="R778" t="s">
        <v>41</v>
      </c>
    </row>
    <row r="779" spans="1:18">
      <c r="A779" t="s">
        <v>838</v>
      </c>
      <c r="B779" s="4">
        <v>46234</v>
      </c>
      <c r="C779" t="s">
        <v>541</v>
      </c>
      <c r="D779" t="s">
        <v>231</v>
      </c>
      <c r="E779" t="s">
        <v>234</v>
      </c>
      <c r="F779" t="s">
        <v>61</v>
      </c>
      <c r="G779" t="s">
        <v>40</v>
      </c>
      <c r="H779">
        <v>5</v>
      </c>
      <c r="I779" s="5">
        <v>402241</v>
      </c>
      <c r="J779" s="5">
        <v>119293</v>
      </c>
      <c r="K779" s="5">
        <v>282948</v>
      </c>
      <c r="L779" s="5">
        <v>181908</v>
      </c>
      <c r="M779" s="5">
        <v>17767</v>
      </c>
      <c r="N779" s="5">
        <v>0</v>
      </c>
      <c r="O779" s="5">
        <v>61351</v>
      </c>
      <c r="P779" s="5">
        <v>21922</v>
      </c>
      <c r="Q779">
        <v>4</v>
      </c>
      <c r="R779" t="s">
        <v>41</v>
      </c>
    </row>
    <row r="780" spans="1:18">
      <c r="A780" t="s">
        <v>839</v>
      </c>
      <c r="B780" s="4">
        <v>46249</v>
      </c>
      <c r="C780" t="s">
        <v>541</v>
      </c>
      <c r="D780" t="s">
        <v>231</v>
      </c>
      <c r="E780" t="s">
        <v>234</v>
      </c>
      <c r="F780" t="s">
        <v>46</v>
      </c>
      <c r="G780" t="s">
        <v>40</v>
      </c>
      <c r="H780">
        <v>3</v>
      </c>
      <c r="I780" s="5">
        <v>186070</v>
      </c>
      <c r="J780" s="5">
        <v>48398</v>
      </c>
      <c r="K780" s="5">
        <v>137672</v>
      </c>
      <c r="L780" s="5">
        <v>83402</v>
      </c>
      <c r="M780" s="5">
        <v>7766</v>
      </c>
      <c r="N780" s="5">
        <v>0</v>
      </c>
      <c r="O780" s="5">
        <v>30707</v>
      </c>
      <c r="P780" s="5">
        <v>15797</v>
      </c>
      <c r="Q780">
        <v>4</v>
      </c>
      <c r="R780" t="s">
        <v>41</v>
      </c>
    </row>
    <row r="781" spans="1:18">
      <c r="A781" t="s">
        <v>840</v>
      </c>
      <c r="B781" s="4">
        <v>46268</v>
      </c>
      <c r="C781" t="s">
        <v>541</v>
      </c>
      <c r="D781" t="s">
        <v>231</v>
      </c>
      <c r="E781" t="s">
        <v>239</v>
      </c>
      <c r="F781" t="s">
        <v>49</v>
      </c>
      <c r="G781" t="s">
        <v>40</v>
      </c>
      <c r="H781">
        <v>1</v>
      </c>
      <c r="I781" s="5">
        <v>161128</v>
      </c>
      <c r="J781" s="5">
        <v>35553</v>
      </c>
      <c r="K781" s="5">
        <v>125575</v>
      </c>
      <c r="L781" s="5">
        <v>84284</v>
      </c>
      <c r="M781" s="5">
        <v>9673</v>
      </c>
      <c r="N781" s="5">
        <v>5082</v>
      </c>
      <c r="O781" s="5">
        <v>10757</v>
      </c>
      <c r="P781" s="5">
        <v>15779</v>
      </c>
      <c r="Q781">
        <v>1</v>
      </c>
      <c r="R781" t="s">
        <v>53</v>
      </c>
    </row>
    <row r="782" spans="1:18">
      <c r="A782" t="s">
        <v>841</v>
      </c>
      <c r="B782" s="4">
        <v>46223</v>
      </c>
      <c r="C782" t="s">
        <v>541</v>
      </c>
      <c r="D782" t="s">
        <v>231</v>
      </c>
      <c r="E782" t="s">
        <v>243</v>
      </c>
      <c r="F782" t="s">
        <v>61</v>
      </c>
      <c r="G782" t="s">
        <v>40</v>
      </c>
      <c r="H782">
        <v>6</v>
      </c>
      <c r="I782" s="5">
        <v>423268</v>
      </c>
      <c r="J782" s="5">
        <v>80709</v>
      </c>
      <c r="K782" s="5">
        <v>342559</v>
      </c>
      <c r="L782" s="5">
        <v>241075</v>
      </c>
      <c r="M782" s="5">
        <v>30951</v>
      </c>
      <c r="N782" s="5">
        <v>0</v>
      </c>
      <c r="O782" s="5">
        <v>56965</v>
      </c>
      <c r="P782" s="5">
        <v>13568</v>
      </c>
      <c r="Q782">
        <v>3</v>
      </c>
      <c r="R782" t="s">
        <v>41</v>
      </c>
    </row>
    <row r="783" spans="1:18">
      <c r="A783" t="s">
        <v>842</v>
      </c>
      <c r="B783" s="4">
        <v>46268</v>
      </c>
      <c r="C783" t="s">
        <v>541</v>
      </c>
      <c r="D783" t="s">
        <v>231</v>
      </c>
      <c r="E783" t="s">
        <v>234</v>
      </c>
      <c r="F783" t="s">
        <v>46</v>
      </c>
      <c r="G783" t="s">
        <v>40</v>
      </c>
      <c r="H783">
        <v>3</v>
      </c>
      <c r="I783" s="5">
        <v>296192</v>
      </c>
      <c r="J783" s="5">
        <v>65997</v>
      </c>
      <c r="K783" s="5">
        <v>230195</v>
      </c>
      <c r="L783" s="5">
        <v>158773</v>
      </c>
      <c r="M783" s="5">
        <v>14057</v>
      </c>
      <c r="N783" s="5">
        <v>0</v>
      </c>
      <c r="O783" s="5">
        <v>41343</v>
      </c>
      <c r="P783" s="5">
        <v>16022</v>
      </c>
      <c r="Q783">
        <v>5</v>
      </c>
      <c r="R783" t="s">
        <v>41</v>
      </c>
    </row>
    <row r="784" spans="1:18">
      <c r="A784" t="s">
        <v>843</v>
      </c>
      <c r="B784" s="4">
        <v>46291</v>
      </c>
      <c r="C784" t="s">
        <v>541</v>
      </c>
      <c r="D784" t="s">
        <v>231</v>
      </c>
      <c r="E784" t="s">
        <v>243</v>
      </c>
      <c r="F784" t="s">
        <v>51</v>
      </c>
      <c r="G784" t="s">
        <v>40</v>
      </c>
      <c r="H784">
        <v>5</v>
      </c>
      <c r="I784" s="5">
        <v>309513</v>
      </c>
      <c r="J784" s="5">
        <v>64250</v>
      </c>
      <c r="K784" s="5">
        <v>245263</v>
      </c>
      <c r="L784" s="5">
        <v>178630</v>
      </c>
      <c r="M784" s="5">
        <v>14391</v>
      </c>
      <c r="N784" s="5">
        <v>0</v>
      </c>
      <c r="O784" s="5">
        <v>40601</v>
      </c>
      <c r="P784" s="5">
        <v>11641</v>
      </c>
      <c r="Q784">
        <v>6</v>
      </c>
      <c r="R784" t="s">
        <v>41</v>
      </c>
    </row>
    <row r="785" spans="1:18">
      <c r="A785" t="s">
        <v>844</v>
      </c>
      <c r="B785" s="4">
        <v>46243</v>
      </c>
      <c r="C785" t="s">
        <v>541</v>
      </c>
      <c r="D785" t="s">
        <v>231</v>
      </c>
      <c r="E785" t="s">
        <v>239</v>
      </c>
      <c r="F785" t="s">
        <v>46</v>
      </c>
      <c r="G785" t="s">
        <v>40</v>
      </c>
      <c r="H785">
        <v>4</v>
      </c>
      <c r="I785" s="5">
        <v>354829</v>
      </c>
      <c r="J785" s="5">
        <v>53580</v>
      </c>
      <c r="K785" s="5">
        <v>301249</v>
      </c>
      <c r="L785" s="5">
        <v>211583</v>
      </c>
      <c r="M785" s="5">
        <v>28878</v>
      </c>
      <c r="N785" s="5">
        <v>8856</v>
      </c>
      <c r="O785" s="5">
        <v>40119</v>
      </c>
      <c r="P785" s="5">
        <v>11813</v>
      </c>
      <c r="Q785">
        <v>2</v>
      </c>
      <c r="R785" t="s">
        <v>53</v>
      </c>
    </row>
    <row r="786" spans="1:18">
      <c r="A786" t="s">
        <v>845</v>
      </c>
      <c r="B786" s="4">
        <v>46215</v>
      </c>
      <c r="C786" t="s">
        <v>541</v>
      </c>
      <c r="D786" t="s">
        <v>231</v>
      </c>
      <c r="E786" t="s">
        <v>239</v>
      </c>
      <c r="F786" t="s">
        <v>51</v>
      </c>
      <c r="G786" t="s">
        <v>43</v>
      </c>
      <c r="H786">
        <v>3</v>
      </c>
      <c r="I786" s="5">
        <v>299846</v>
      </c>
      <c r="J786" s="5">
        <v>56428</v>
      </c>
      <c r="K786" s="5">
        <v>243418</v>
      </c>
      <c r="L786" s="5">
        <v>161479</v>
      </c>
      <c r="M786" s="5">
        <v>16555</v>
      </c>
      <c r="N786" s="5">
        <v>0</v>
      </c>
      <c r="O786" s="5">
        <v>54467</v>
      </c>
      <c r="P786" s="5">
        <v>10917</v>
      </c>
      <c r="Q786">
        <v>8</v>
      </c>
      <c r="R786" t="s">
        <v>41</v>
      </c>
    </row>
    <row r="787" spans="1:18">
      <c r="A787" t="s">
        <v>846</v>
      </c>
      <c r="B787" s="4">
        <v>46219</v>
      </c>
      <c r="C787" t="s">
        <v>541</v>
      </c>
      <c r="D787" t="s">
        <v>231</v>
      </c>
      <c r="E787" t="s">
        <v>243</v>
      </c>
      <c r="F787" t="s">
        <v>61</v>
      </c>
      <c r="G787" t="s">
        <v>43</v>
      </c>
      <c r="H787">
        <v>3</v>
      </c>
      <c r="I787" s="5">
        <v>427619</v>
      </c>
      <c r="J787" s="5">
        <v>135390</v>
      </c>
      <c r="K787" s="5">
        <v>292229</v>
      </c>
      <c r="L787" s="5">
        <v>206075</v>
      </c>
      <c r="M787" s="5">
        <v>21381</v>
      </c>
      <c r="N787" s="5">
        <v>0</v>
      </c>
      <c r="O787" s="5">
        <v>47795</v>
      </c>
      <c r="P787" s="5">
        <v>16978</v>
      </c>
      <c r="Q787">
        <v>4</v>
      </c>
      <c r="R787" t="s">
        <v>41</v>
      </c>
    </row>
    <row r="788" spans="1:18">
      <c r="A788" t="s">
        <v>847</v>
      </c>
      <c r="B788" s="4">
        <v>46283</v>
      </c>
      <c r="C788" t="s">
        <v>541</v>
      </c>
      <c r="D788" t="s">
        <v>231</v>
      </c>
      <c r="E788" t="s">
        <v>234</v>
      </c>
      <c r="F788" t="s">
        <v>39</v>
      </c>
      <c r="G788" t="s">
        <v>40</v>
      </c>
      <c r="H788">
        <v>6</v>
      </c>
      <c r="I788" s="5">
        <v>148930</v>
      </c>
      <c r="J788" s="5">
        <v>24412</v>
      </c>
      <c r="K788" s="5">
        <v>124518</v>
      </c>
      <c r="L788" s="5">
        <v>81791</v>
      </c>
      <c r="M788" s="5">
        <v>6989</v>
      </c>
      <c r="N788" s="5">
        <v>0</v>
      </c>
      <c r="O788" s="5">
        <v>18482</v>
      </c>
      <c r="P788" s="5">
        <v>17256</v>
      </c>
      <c r="Q788">
        <v>6</v>
      </c>
      <c r="R788" t="s">
        <v>41</v>
      </c>
    </row>
    <row r="789" spans="1:18">
      <c r="A789" t="s">
        <v>848</v>
      </c>
      <c r="B789" s="4">
        <v>46211</v>
      </c>
      <c r="C789" t="s">
        <v>541</v>
      </c>
      <c r="D789" t="s">
        <v>231</v>
      </c>
      <c r="E789" t="s">
        <v>232</v>
      </c>
      <c r="F789" t="s">
        <v>49</v>
      </c>
      <c r="G789" t="s">
        <v>40</v>
      </c>
      <c r="H789">
        <v>2</v>
      </c>
      <c r="I789" s="5">
        <v>155576</v>
      </c>
      <c r="J789" s="5">
        <v>29136</v>
      </c>
      <c r="K789" s="5">
        <v>126440</v>
      </c>
      <c r="L789" s="5">
        <v>87992</v>
      </c>
      <c r="M789" s="5">
        <v>11553</v>
      </c>
      <c r="N789" s="5">
        <v>8010</v>
      </c>
      <c r="O789" s="5">
        <v>8382</v>
      </c>
      <c r="P789" s="5">
        <v>10503</v>
      </c>
      <c r="Q789">
        <v>5</v>
      </c>
      <c r="R789" t="s">
        <v>53</v>
      </c>
    </row>
    <row r="790" spans="1:18">
      <c r="A790" t="s">
        <v>849</v>
      </c>
      <c r="B790" s="4">
        <v>46263</v>
      </c>
      <c r="C790" t="s">
        <v>541</v>
      </c>
      <c r="D790" t="s">
        <v>231</v>
      </c>
      <c r="E790" t="s">
        <v>239</v>
      </c>
      <c r="F790" t="s">
        <v>39</v>
      </c>
      <c r="G790" t="s">
        <v>43</v>
      </c>
      <c r="H790">
        <v>4</v>
      </c>
      <c r="I790" s="5">
        <v>400529</v>
      </c>
      <c r="J790" s="5">
        <v>95125</v>
      </c>
      <c r="K790" s="5">
        <v>305404</v>
      </c>
      <c r="L790" s="5">
        <v>199273</v>
      </c>
      <c r="M790" s="5">
        <v>21806</v>
      </c>
      <c r="N790" s="5">
        <v>13068</v>
      </c>
      <c r="O790" s="5">
        <v>52892</v>
      </c>
      <c r="P790" s="5">
        <v>18365</v>
      </c>
      <c r="Q790">
        <v>3</v>
      </c>
      <c r="R790" t="s">
        <v>53</v>
      </c>
    </row>
    <row r="791" spans="1:18">
      <c r="A791" t="s">
        <v>850</v>
      </c>
      <c r="B791" s="4">
        <v>46254</v>
      </c>
      <c r="C791" t="s">
        <v>541</v>
      </c>
      <c r="D791" t="s">
        <v>231</v>
      </c>
      <c r="E791" t="s">
        <v>243</v>
      </c>
      <c r="F791" t="s">
        <v>51</v>
      </c>
      <c r="G791" t="s">
        <v>43</v>
      </c>
      <c r="H791">
        <v>3</v>
      </c>
      <c r="I791" s="5">
        <v>183062</v>
      </c>
      <c r="J791" s="5">
        <v>31673</v>
      </c>
      <c r="K791" s="5">
        <v>151389</v>
      </c>
      <c r="L791" s="5">
        <v>100425</v>
      </c>
      <c r="M791" s="5">
        <v>8825</v>
      </c>
      <c r="N791" s="5">
        <v>0</v>
      </c>
      <c r="O791" s="5">
        <v>29875</v>
      </c>
      <c r="P791" s="5">
        <v>12264</v>
      </c>
      <c r="Q791">
        <v>1</v>
      </c>
      <c r="R791" t="s">
        <v>41</v>
      </c>
    </row>
    <row r="792" spans="1:18">
      <c r="A792" t="s">
        <v>851</v>
      </c>
      <c r="B792" s="4">
        <v>46218</v>
      </c>
      <c r="C792" t="s">
        <v>541</v>
      </c>
      <c r="D792" t="s">
        <v>231</v>
      </c>
      <c r="E792" t="s">
        <v>234</v>
      </c>
      <c r="F792" t="s">
        <v>46</v>
      </c>
      <c r="G792" t="s">
        <v>40</v>
      </c>
      <c r="H792">
        <v>5</v>
      </c>
      <c r="I792" s="5">
        <v>238015</v>
      </c>
      <c r="J792" s="5">
        <v>59374</v>
      </c>
      <c r="K792" s="5">
        <v>178641</v>
      </c>
      <c r="L792" s="5">
        <v>122333</v>
      </c>
      <c r="M792" s="5">
        <v>11411</v>
      </c>
      <c r="N792" s="5">
        <v>0</v>
      </c>
      <c r="O792" s="5">
        <v>32833</v>
      </c>
      <c r="P792" s="5">
        <v>12064</v>
      </c>
      <c r="Q792">
        <v>5</v>
      </c>
      <c r="R792" t="s">
        <v>41</v>
      </c>
    </row>
    <row r="793" spans="1:18">
      <c r="A793" t="s">
        <v>852</v>
      </c>
      <c r="B793" s="4">
        <v>46252</v>
      </c>
      <c r="C793" t="s">
        <v>541</v>
      </c>
      <c r="D793" t="s">
        <v>231</v>
      </c>
      <c r="E793" t="s">
        <v>239</v>
      </c>
      <c r="F793" t="s">
        <v>39</v>
      </c>
      <c r="G793" t="s">
        <v>43</v>
      </c>
      <c r="H793">
        <v>4</v>
      </c>
      <c r="I793" s="5">
        <v>297160</v>
      </c>
      <c r="J793" s="5">
        <v>71917</v>
      </c>
      <c r="K793" s="5">
        <v>225243</v>
      </c>
      <c r="L793" s="5">
        <v>150275</v>
      </c>
      <c r="M793" s="5">
        <v>14833</v>
      </c>
      <c r="N793" s="5">
        <v>11010</v>
      </c>
      <c r="O793" s="5">
        <v>27613</v>
      </c>
      <c r="P793" s="5">
        <v>21512</v>
      </c>
      <c r="Q793">
        <v>6</v>
      </c>
      <c r="R793" t="s">
        <v>53</v>
      </c>
    </row>
    <row r="794" spans="1:18">
      <c r="A794" t="s">
        <v>853</v>
      </c>
      <c r="B794" s="4">
        <v>46236</v>
      </c>
      <c r="C794" t="s">
        <v>541</v>
      </c>
      <c r="D794" t="s">
        <v>231</v>
      </c>
      <c r="E794" t="s">
        <v>232</v>
      </c>
      <c r="F794" t="s">
        <v>61</v>
      </c>
      <c r="G794" t="s">
        <v>40</v>
      </c>
      <c r="H794">
        <v>1</v>
      </c>
      <c r="I794" s="5">
        <v>232891</v>
      </c>
      <c r="J794" s="5">
        <v>52516</v>
      </c>
      <c r="K794" s="5">
        <v>180375</v>
      </c>
      <c r="L794" s="5">
        <v>107659</v>
      </c>
      <c r="M794" s="5">
        <v>14260</v>
      </c>
      <c r="N794" s="5">
        <v>0</v>
      </c>
      <c r="O794" s="5">
        <v>35924</v>
      </c>
      <c r="P794" s="5">
        <v>22532</v>
      </c>
      <c r="Q794">
        <v>5</v>
      </c>
      <c r="R794" t="s">
        <v>41</v>
      </c>
    </row>
    <row r="795" spans="1:18">
      <c r="A795" t="s">
        <v>854</v>
      </c>
      <c r="B795" s="4">
        <v>46231</v>
      </c>
      <c r="C795" t="s">
        <v>541</v>
      </c>
      <c r="D795" t="s">
        <v>231</v>
      </c>
      <c r="E795" t="s">
        <v>234</v>
      </c>
      <c r="F795" t="s">
        <v>51</v>
      </c>
      <c r="G795" t="s">
        <v>40</v>
      </c>
      <c r="H795">
        <v>1</v>
      </c>
      <c r="I795" s="5">
        <v>179698</v>
      </c>
      <c r="J795" s="5">
        <v>39145</v>
      </c>
      <c r="K795" s="5">
        <v>140553</v>
      </c>
      <c r="L795" s="5">
        <v>97595</v>
      </c>
      <c r="M795" s="5">
        <v>10041</v>
      </c>
      <c r="N795" s="5">
        <v>0</v>
      </c>
      <c r="O795" s="5">
        <v>21009</v>
      </c>
      <c r="P795" s="5">
        <v>11908</v>
      </c>
      <c r="Q795">
        <v>5</v>
      </c>
      <c r="R795" t="s">
        <v>41</v>
      </c>
    </row>
    <row r="796" spans="1:18">
      <c r="A796" t="s">
        <v>855</v>
      </c>
      <c r="B796" s="4">
        <v>46257</v>
      </c>
      <c r="C796" t="s">
        <v>541</v>
      </c>
      <c r="D796" t="s">
        <v>231</v>
      </c>
      <c r="E796" t="s">
        <v>243</v>
      </c>
      <c r="F796" t="s">
        <v>46</v>
      </c>
      <c r="G796" t="s">
        <v>40</v>
      </c>
      <c r="H796">
        <v>6</v>
      </c>
      <c r="I796" s="5">
        <v>206011</v>
      </c>
      <c r="J796" s="5">
        <v>51348</v>
      </c>
      <c r="K796" s="5">
        <v>154663</v>
      </c>
      <c r="L796" s="5">
        <v>99012</v>
      </c>
      <c r="M796" s="5">
        <v>9282</v>
      </c>
      <c r="N796" s="5">
        <v>0</v>
      </c>
      <c r="O796" s="5">
        <v>20847</v>
      </c>
      <c r="P796" s="5">
        <v>25522</v>
      </c>
      <c r="Q796">
        <v>3</v>
      </c>
      <c r="R796" t="s">
        <v>41</v>
      </c>
    </row>
    <row r="797" spans="1:18">
      <c r="A797" t="s">
        <v>856</v>
      </c>
      <c r="B797" s="4">
        <v>46280</v>
      </c>
      <c r="C797" t="s">
        <v>541</v>
      </c>
      <c r="D797" t="s">
        <v>231</v>
      </c>
      <c r="E797" t="s">
        <v>232</v>
      </c>
      <c r="F797" t="s">
        <v>61</v>
      </c>
      <c r="G797" t="s">
        <v>40</v>
      </c>
      <c r="H797">
        <v>3</v>
      </c>
      <c r="I797" s="5">
        <v>284613</v>
      </c>
      <c r="J797" s="5">
        <v>42334</v>
      </c>
      <c r="K797" s="5">
        <v>242279</v>
      </c>
      <c r="L797" s="5">
        <v>159921</v>
      </c>
      <c r="M797" s="5">
        <v>20319</v>
      </c>
      <c r="N797" s="5">
        <v>0</v>
      </c>
      <c r="O797" s="5">
        <v>38433</v>
      </c>
      <c r="P797" s="5">
        <v>23606</v>
      </c>
      <c r="Q797">
        <v>6</v>
      </c>
      <c r="R797" t="s">
        <v>41</v>
      </c>
    </row>
    <row r="798" spans="1:18">
      <c r="A798" t="s">
        <v>857</v>
      </c>
      <c r="B798" s="4">
        <v>46205</v>
      </c>
      <c r="C798" t="s">
        <v>541</v>
      </c>
      <c r="D798" t="s">
        <v>231</v>
      </c>
      <c r="E798" t="s">
        <v>232</v>
      </c>
      <c r="F798" t="s">
        <v>46</v>
      </c>
      <c r="G798" t="s">
        <v>40</v>
      </c>
      <c r="H798">
        <v>4</v>
      </c>
      <c r="I798" s="5">
        <v>209339</v>
      </c>
      <c r="J798" s="5">
        <v>39039</v>
      </c>
      <c r="K798" s="5">
        <v>170300</v>
      </c>
      <c r="L798" s="5">
        <v>114979</v>
      </c>
      <c r="M798" s="5">
        <v>14333</v>
      </c>
      <c r="N798" s="5">
        <v>0</v>
      </c>
      <c r="O798" s="5">
        <v>24797</v>
      </c>
      <c r="P798" s="5">
        <v>16191</v>
      </c>
      <c r="Q798">
        <v>1</v>
      </c>
      <c r="R798" t="s">
        <v>41</v>
      </c>
    </row>
    <row r="799" spans="1:18">
      <c r="A799" t="s">
        <v>858</v>
      </c>
      <c r="B799" s="4">
        <v>46204</v>
      </c>
      <c r="C799" t="s">
        <v>541</v>
      </c>
      <c r="D799" t="s">
        <v>231</v>
      </c>
      <c r="E799" t="s">
        <v>243</v>
      </c>
      <c r="F799" t="s">
        <v>51</v>
      </c>
      <c r="G799" t="s">
        <v>43</v>
      </c>
      <c r="H799">
        <v>6</v>
      </c>
      <c r="I799" s="5">
        <v>276374</v>
      </c>
      <c r="J799" s="5">
        <v>63928</v>
      </c>
      <c r="K799" s="5">
        <v>212446</v>
      </c>
      <c r="L799" s="5">
        <v>144350</v>
      </c>
      <c r="M799" s="5">
        <v>14345</v>
      </c>
      <c r="N799" s="5">
        <v>0</v>
      </c>
      <c r="O799" s="5">
        <v>29433</v>
      </c>
      <c r="P799" s="5">
        <v>24318</v>
      </c>
      <c r="Q799">
        <v>4</v>
      </c>
      <c r="R799" t="s">
        <v>41</v>
      </c>
    </row>
    <row r="800" spans="1:18">
      <c r="A800" t="s">
        <v>859</v>
      </c>
      <c r="B800" s="4">
        <v>46273</v>
      </c>
      <c r="C800" t="s">
        <v>541</v>
      </c>
      <c r="D800" t="s">
        <v>231</v>
      </c>
      <c r="E800" t="s">
        <v>232</v>
      </c>
      <c r="F800" t="s">
        <v>49</v>
      </c>
      <c r="G800" t="s">
        <v>43</v>
      </c>
      <c r="H800">
        <v>2</v>
      </c>
      <c r="I800" s="5">
        <v>362415</v>
      </c>
      <c r="J800" s="5">
        <v>85370</v>
      </c>
      <c r="K800" s="5">
        <v>277045</v>
      </c>
      <c r="L800" s="5">
        <v>186505</v>
      </c>
      <c r="M800" s="5">
        <v>26432</v>
      </c>
      <c r="N800" s="5">
        <v>0</v>
      </c>
      <c r="O800" s="5">
        <v>53623</v>
      </c>
      <c r="P800" s="5">
        <v>10485</v>
      </c>
      <c r="Q800">
        <v>4</v>
      </c>
      <c r="R800" t="s">
        <v>41</v>
      </c>
    </row>
    <row r="801" spans="1:18">
      <c r="A801" t="s">
        <v>860</v>
      </c>
      <c r="B801" s="4">
        <v>46206</v>
      </c>
      <c r="C801" t="s">
        <v>541</v>
      </c>
      <c r="D801" t="s">
        <v>231</v>
      </c>
      <c r="E801" t="s">
        <v>234</v>
      </c>
      <c r="F801" t="s">
        <v>39</v>
      </c>
      <c r="G801" t="s">
        <v>40</v>
      </c>
      <c r="H801">
        <v>6</v>
      </c>
      <c r="I801" s="5">
        <v>215739</v>
      </c>
      <c r="J801" s="5">
        <v>36693</v>
      </c>
      <c r="K801" s="5">
        <v>179046</v>
      </c>
      <c r="L801" s="5">
        <v>122399</v>
      </c>
      <c r="M801" s="5">
        <v>13249</v>
      </c>
      <c r="N801" s="5">
        <v>9976</v>
      </c>
      <c r="O801" s="5">
        <v>13863</v>
      </c>
      <c r="P801" s="5">
        <v>19559</v>
      </c>
      <c r="Q801">
        <v>8</v>
      </c>
      <c r="R801" t="s">
        <v>53</v>
      </c>
    </row>
    <row r="802" spans="1:18">
      <c r="A802" t="s">
        <v>861</v>
      </c>
      <c r="B802" s="4">
        <v>46258</v>
      </c>
      <c r="C802" t="s">
        <v>541</v>
      </c>
      <c r="D802" t="s">
        <v>231</v>
      </c>
      <c r="E802" t="s">
        <v>234</v>
      </c>
      <c r="F802" t="s">
        <v>61</v>
      </c>
      <c r="G802" t="s">
        <v>40</v>
      </c>
      <c r="H802">
        <v>4</v>
      </c>
      <c r="I802" s="5">
        <v>326444</v>
      </c>
      <c r="J802" s="5">
        <v>29199</v>
      </c>
      <c r="K802" s="5">
        <v>297245</v>
      </c>
      <c r="L802" s="5">
        <v>206045</v>
      </c>
      <c r="M802" s="5">
        <v>21277</v>
      </c>
      <c r="N802" s="5">
        <v>0</v>
      </c>
      <c r="O802" s="5">
        <v>59944</v>
      </c>
      <c r="P802" s="5">
        <v>9979</v>
      </c>
      <c r="Q802">
        <v>4</v>
      </c>
      <c r="R802" t="s">
        <v>41</v>
      </c>
    </row>
    <row r="803" spans="1:18">
      <c r="A803" t="s">
        <v>862</v>
      </c>
      <c r="B803" s="4">
        <v>46288</v>
      </c>
      <c r="C803" t="s">
        <v>541</v>
      </c>
      <c r="D803" t="s">
        <v>231</v>
      </c>
      <c r="E803" t="s">
        <v>243</v>
      </c>
      <c r="F803" t="s">
        <v>39</v>
      </c>
      <c r="G803" t="s">
        <v>40</v>
      </c>
      <c r="H803">
        <v>1</v>
      </c>
      <c r="I803" s="5">
        <v>451570</v>
      </c>
      <c r="J803" s="5">
        <v>90465</v>
      </c>
      <c r="K803" s="5">
        <v>361105</v>
      </c>
      <c r="L803" s="5">
        <v>257490</v>
      </c>
      <c r="M803" s="5">
        <v>28682</v>
      </c>
      <c r="N803" s="5">
        <v>0</v>
      </c>
      <c r="O803" s="5">
        <v>64853</v>
      </c>
      <c r="P803" s="5">
        <v>10080</v>
      </c>
      <c r="Q803">
        <v>5</v>
      </c>
      <c r="R803" t="s">
        <v>41</v>
      </c>
    </row>
    <row r="804" spans="1:18">
      <c r="A804" t="s">
        <v>863</v>
      </c>
      <c r="B804" s="4">
        <v>46267</v>
      </c>
      <c r="C804" t="s">
        <v>541</v>
      </c>
      <c r="D804" t="s">
        <v>231</v>
      </c>
      <c r="E804" t="s">
        <v>239</v>
      </c>
      <c r="F804" t="s">
        <v>46</v>
      </c>
      <c r="G804" t="s">
        <v>40</v>
      </c>
      <c r="H804">
        <v>6</v>
      </c>
      <c r="I804" s="5">
        <v>295647</v>
      </c>
      <c r="J804" s="5">
        <v>66710</v>
      </c>
      <c r="K804" s="5">
        <v>228937</v>
      </c>
      <c r="L804" s="5">
        <v>161122</v>
      </c>
      <c r="M804" s="5">
        <v>18469</v>
      </c>
      <c r="N804" s="5">
        <v>0</v>
      </c>
      <c r="O804" s="5">
        <v>38595</v>
      </c>
      <c r="P804" s="5">
        <v>10751</v>
      </c>
      <c r="Q804">
        <v>3</v>
      </c>
      <c r="R804" t="s">
        <v>41</v>
      </c>
    </row>
    <row r="805" spans="1:18">
      <c r="A805" t="s">
        <v>864</v>
      </c>
      <c r="B805" s="4">
        <v>46229</v>
      </c>
      <c r="C805" t="s">
        <v>541</v>
      </c>
      <c r="D805" t="s">
        <v>231</v>
      </c>
      <c r="E805" t="s">
        <v>243</v>
      </c>
      <c r="F805" t="s">
        <v>61</v>
      </c>
      <c r="G805" t="s">
        <v>43</v>
      </c>
      <c r="H805">
        <v>4</v>
      </c>
      <c r="I805" s="5">
        <v>423439</v>
      </c>
      <c r="J805" s="5">
        <v>89315</v>
      </c>
      <c r="K805" s="5">
        <v>334124</v>
      </c>
      <c r="L805" s="5">
        <v>227108</v>
      </c>
      <c r="M805" s="5">
        <v>25364</v>
      </c>
      <c r="N805" s="5">
        <v>0</v>
      </c>
      <c r="O805" s="5">
        <v>71941</v>
      </c>
      <c r="P805" s="5">
        <v>9711</v>
      </c>
      <c r="Q805">
        <v>6</v>
      </c>
      <c r="R805" t="s">
        <v>41</v>
      </c>
    </row>
    <row r="806" spans="1:18">
      <c r="A806" t="s">
        <v>865</v>
      </c>
      <c r="B806" s="4">
        <v>46232</v>
      </c>
      <c r="C806" t="s">
        <v>541</v>
      </c>
      <c r="D806" t="s">
        <v>231</v>
      </c>
      <c r="E806" t="s">
        <v>234</v>
      </c>
      <c r="F806" t="s">
        <v>39</v>
      </c>
      <c r="G806" t="s">
        <v>43</v>
      </c>
      <c r="H806">
        <v>3</v>
      </c>
      <c r="I806" s="5">
        <v>184183</v>
      </c>
      <c r="J806" s="5">
        <v>30317</v>
      </c>
      <c r="K806" s="5">
        <v>153866</v>
      </c>
      <c r="L806" s="5">
        <v>107599</v>
      </c>
      <c r="M806" s="5">
        <v>12976</v>
      </c>
      <c r="N806" s="5">
        <v>6511</v>
      </c>
      <c r="O806" s="5">
        <v>17664</v>
      </c>
      <c r="P806" s="5">
        <v>9116</v>
      </c>
      <c r="Q806">
        <v>6</v>
      </c>
      <c r="R806" t="s">
        <v>53</v>
      </c>
    </row>
    <row r="807" spans="1:18">
      <c r="A807" t="s">
        <v>866</v>
      </c>
      <c r="B807" s="4">
        <v>46257</v>
      </c>
      <c r="C807" t="s">
        <v>541</v>
      </c>
      <c r="D807" t="s">
        <v>231</v>
      </c>
      <c r="E807" t="s">
        <v>239</v>
      </c>
      <c r="F807" t="s">
        <v>61</v>
      </c>
      <c r="G807" t="s">
        <v>40</v>
      </c>
      <c r="H807">
        <v>2</v>
      </c>
      <c r="I807" s="5">
        <v>265457</v>
      </c>
      <c r="J807" s="5">
        <v>67132</v>
      </c>
      <c r="K807" s="5">
        <v>198325</v>
      </c>
      <c r="L807" s="5">
        <v>133192</v>
      </c>
      <c r="M807" s="5">
        <v>12934</v>
      </c>
      <c r="N807" s="5">
        <v>0</v>
      </c>
      <c r="O807" s="5">
        <v>39553</v>
      </c>
      <c r="P807" s="5">
        <v>12646</v>
      </c>
      <c r="Q807">
        <v>2</v>
      </c>
      <c r="R807" t="s">
        <v>41</v>
      </c>
    </row>
    <row r="808" spans="1:18">
      <c r="A808" t="s">
        <v>867</v>
      </c>
      <c r="B808" s="4">
        <v>46225</v>
      </c>
      <c r="C808" t="s">
        <v>541</v>
      </c>
      <c r="D808" t="s">
        <v>231</v>
      </c>
      <c r="E808" t="s">
        <v>243</v>
      </c>
      <c r="F808" t="s">
        <v>51</v>
      </c>
      <c r="G808" t="s">
        <v>43</v>
      </c>
      <c r="H808">
        <v>2</v>
      </c>
      <c r="I808" s="5">
        <v>409123</v>
      </c>
      <c r="J808" s="5">
        <v>96919</v>
      </c>
      <c r="K808" s="5">
        <v>312204</v>
      </c>
      <c r="L808" s="5">
        <v>214558</v>
      </c>
      <c r="M808" s="5">
        <v>26468</v>
      </c>
      <c r="N808" s="5">
        <v>0</v>
      </c>
      <c r="O808" s="5">
        <v>54222</v>
      </c>
      <c r="P808" s="5">
        <v>16956</v>
      </c>
      <c r="Q808">
        <v>1</v>
      </c>
      <c r="R808" t="s">
        <v>41</v>
      </c>
    </row>
    <row r="809" spans="1:18">
      <c r="A809" t="s">
        <v>868</v>
      </c>
      <c r="B809" s="4">
        <v>46285</v>
      </c>
      <c r="C809" t="s">
        <v>541</v>
      </c>
      <c r="D809" t="s">
        <v>231</v>
      </c>
      <c r="E809" t="s">
        <v>243</v>
      </c>
      <c r="F809" t="s">
        <v>51</v>
      </c>
      <c r="G809" t="s">
        <v>43</v>
      </c>
      <c r="H809">
        <v>3</v>
      </c>
      <c r="I809" s="5">
        <v>162397</v>
      </c>
      <c r="J809" s="5">
        <v>31495</v>
      </c>
      <c r="K809" s="5">
        <v>130902</v>
      </c>
      <c r="L809" s="5">
        <v>74767</v>
      </c>
      <c r="M809" s="5">
        <v>10623</v>
      </c>
      <c r="N809" s="5">
        <v>0</v>
      </c>
      <c r="O809" s="5">
        <v>23817</v>
      </c>
      <c r="P809" s="5">
        <v>21695</v>
      </c>
      <c r="Q809">
        <v>3</v>
      </c>
      <c r="R809" t="s">
        <v>41</v>
      </c>
    </row>
    <row r="810" spans="1:18">
      <c r="A810" t="s">
        <v>869</v>
      </c>
      <c r="B810" s="4">
        <v>46284</v>
      </c>
      <c r="C810" t="s">
        <v>541</v>
      </c>
      <c r="D810" t="s">
        <v>231</v>
      </c>
      <c r="E810" t="s">
        <v>243</v>
      </c>
      <c r="F810" t="s">
        <v>39</v>
      </c>
      <c r="G810" t="s">
        <v>40</v>
      </c>
      <c r="H810">
        <v>3</v>
      </c>
      <c r="I810" s="5">
        <v>383412</v>
      </c>
      <c r="J810" s="5">
        <v>70042</v>
      </c>
      <c r="K810" s="5">
        <v>313370</v>
      </c>
      <c r="L810" s="5">
        <v>209858</v>
      </c>
      <c r="M810" s="5">
        <v>28037</v>
      </c>
      <c r="N810" s="5">
        <v>0</v>
      </c>
      <c r="O810" s="5">
        <v>66706</v>
      </c>
      <c r="P810" s="5">
        <v>8769</v>
      </c>
      <c r="Q810">
        <v>4</v>
      </c>
      <c r="R810" t="s">
        <v>41</v>
      </c>
    </row>
    <row r="811" spans="1:18">
      <c r="A811" t="s">
        <v>870</v>
      </c>
      <c r="B811" s="4">
        <v>46207</v>
      </c>
      <c r="C811" t="s">
        <v>541</v>
      </c>
      <c r="D811" t="s">
        <v>231</v>
      </c>
      <c r="E811" t="s">
        <v>239</v>
      </c>
      <c r="F811" t="s">
        <v>49</v>
      </c>
      <c r="G811" t="s">
        <v>43</v>
      </c>
      <c r="H811">
        <v>1</v>
      </c>
      <c r="I811" s="5">
        <v>286169</v>
      </c>
      <c r="J811" s="5">
        <v>64227</v>
      </c>
      <c r="K811" s="5">
        <v>221942</v>
      </c>
      <c r="L811" s="5">
        <v>150173</v>
      </c>
      <c r="M811" s="5">
        <v>17776</v>
      </c>
      <c r="N811" s="5">
        <v>0</v>
      </c>
      <c r="O811" s="5">
        <v>40808</v>
      </c>
      <c r="P811" s="5">
        <v>13185</v>
      </c>
      <c r="Q811">
        <v>5</v>
      </c>
      <c r="R811" t="s">
        <v>41</v>
      </c>
    </row>
    <row r="812" spans="1:18">
      <c r="A812" t="s">
        <v>871</v>
      </c>
      <c r="B812" s="4">
        <v>46234</v>
      </c>
      <c r="C812" t="s">
        <v>541</v>
      </c>
      <c r="D812" t="s">
        <v>231</v>
      </c>
      <c r="E812" t="s">
        <v>232</v>
      </c>
      <c r="F812" t="s">
        <v>39</v>
      </c>
      <c r="G812" t="s">
        <v>40</v>
      </c>
      <c r="H812">
        <v>5</v>
      </c>
      <c r="I812" s="5">
        <v>407801</v>
      </c>
      <c r="J812" s="5">
        <v>89353</v>
      </c>
      <c r="K812" s="5">
        <v>318448</v>
      </c>
      <c r="L812" s="5">
        <v>211494</v>
      </c>
      <c r="M812" s="5">
        <v>25015</v>
      </c>
      <c r="N812" s="5">
        <v>0</v>
      </c>
      <c r="O812" s="5">
        <v>56894</v>
      </c>
      <c r="P812" s="5">
        <v>25045</v>
      </c>
      <c r="Q812">
        <v>3</v>
      </c>
      <c r="R812" t="s">
        <v>41</v>
      </c>
    </row>
    <row r="813" spans="1:18">
      <c r="A813" t="s">
        <v>872</v>
      </c>
      <c r="B813" s="4">
        <v>46210</v>
      </c>
      <c r="C813" t="s">
        <v>541</v>
      </c>
      <c r="D813" t="s">
        <v>231</v>
      </c>
      <c r="E813" t="s">
        <v>234</v>
      </c>
      <c r="F813" t="s">
        <v>61</v>
      </c>
      <c r="G813" t="s">
        <v>40</v>
      </c>
      <c r="H813">
        <v>6</v>
      </c>
      <c r="I813" s="5">
        <v>404668</v>
      </c>
      <c r="J813" s="5">
        <v>101299</v>
      </c>
      <c r="K813" s="5">
        <v>303369</v>
      </c>
      <c r="L813" s="5">
        <v>213232</v>
      </c>
      <c r="M813" s="5">
        <v>21283</v>
      </c>
      <c r="N813" s="5">
        <v>0</v>
      </c>
      <c r="O813" s="5">
        <v>48798</v>
      </c>
      <c r="P813" s="5">
        <v>20056</v>
      </c>
      <c r="Q813">
        <v>2</v>
      </c>
      <c r="R813" t="s">
        <v>41</v>
      </c>
    </row>
    <row r="814" spans="1:18">
      <c r="A814" t="s">
        <v>873</v>
      </c>
      <c r="B814" s="4">
        <v>46219</v>
      </c>
      <c r="C814" t="s">
        <v>541</v>
      </c>
      <c r="D814" t="s">
        <v>231</v>
      </c>
      <c r="E814" t="s">
        <v>239</v>
      </c>
      <c r="F814" t="s">
        <v>51</v>
      </c>
      <c r="G814" t="s">
        <v>43</v>
      </c>
      <c r="H814">
        <v>3</v>
      </c>
      <c r="I814" s="5">
        <v>260072</v>
      </c>
      <c r="J814" s="5">
        <v>83223</v>
      </c>
      <c r="K814" s="5">
        <v>176849</v>
      </c>
      <c r="L814" s="5">
        <v>117236</v>
      </c>
      <c r="M814" s="5">
        <v>9965</v>
      </c>
      <c r="N814" s="5">
        <v>0</v>
      </c>
      <c r="O814" s="5">
        <v>27460</v>
      </c>
      <c r="P814" s="5">
        <v>22188</v>
      </c>
      <c r="Q814">
        <v>5</v>
      </c>
      <c r="R814" t="s">
        <v>41</v>
      </c>
    </row>
    <row r="815" spans="1:18">
      <c r="A815" t="s">
        <v>874</v>
      </c>
      <c r="B815" s="4">
        <v>46254</v>
      </c>
      <c r="C815" t="s">
        <v>541</v>
      </c>
      <c r="D815" t="s">
        <v>231</v>
      </c>
      <c r="E815" t="s">
        <v>239</v>
      </c>
      <c r="F815" t="s">
        <v>46</v>
      </c>
      <c r="G815" t="s">
        <v>40</v>
      </c>
      <c r="H815">
        <v>4</v>
      </c>
      <c r="I815" s="5">
        <v>389519</v>
      </c>
      <c r="J815" s="5">
        <v>90439</v>
      </c>
      <c r="K815" s="5">
        <v>299080</v>
      </c>
      <c r="L815" s="5">
        <v>209921</v>
      </c>
      <c r="M815" s="5">
        <v>21573</v>
      </c>
      <c r="N815" s="5">
        <v>0</v>
      </c>
      <c r="O815" s="5">
        <v>58260</v>
      </c>
      <c r="P815" s="5">
        <v>9326</v>
      </c>
      <c r="Q815">
        <v>4</v>
      </c>
      <c r="R815" t="s">
        <v>41</v>
      </c>
    </row>
    <row r="816" spans="1:18">
      <c r="A816" t="s">
        <v>875</v>
      </c>
      <c r="B816" s="4">
        <v>46244</v>
      </c>
      <c r="C816" t="s">
        <v>541</v>
      </c>
      <c r="D816" t="s">
        <v>231</v>
      </c>
      <c r="E816" t="s">
        <v>243</v>
      </c>
      <c r="F816" t="s">
        <v>51</v>
      </c>
      <c r="G816" t="s">
        <v>40</v>
      </c>
      <c r="H816">
        <v>3</v>
      </c>
      <c r="I816" s="5">
        <v>291736</v>
      </c>
      <c r="J816" s="5">
        <v>87300</v>
      </c>
      <c r="K816" s="5">
        <v>204436</v>
      </c>
      <c r="L816" s="5">
        <v>132014</v>
      </c>
      <c r="M816" s="5">
        <v>16816</v>
      </c>
      <c r="N816" s="5">
        <v>0</v>
      </c>
      <c r="O816" s="5">
        <v>43368</v>
      </c>
      <c r="P816" s="5">
        <v>12238</v>
      </c>
      <c r="Q816">
        <v>6</v>
      </c>
      <c r="R816" t="s">
        <v>41</v>
      </c>
    </row>
    <row r="817" spans="1:18">
      <c r="A817" t="s">
        <v>876</v>
      </c>
      <c r="B817" s="4">
        <v>46248</v>
      </c>
      <c r="C817" t="s">
        <v>541</v>
      </c>
      <c r="D817" t="s">
        <v>231</v>
      </c>
      <c r="E817" t="s">
        <v>243</v>
      </c>
      <c r="F817" t="s">
        <v>49</v>
      </c>
      <c r="G817" t="s">
        <v>40</v>
      </c>
      <c r="H817">
        <v>2</v>
      </c>
      <c r="I817" s="5">
        <v>225863</v>
      </c>
      <c r="J817" s="5">
        <v>54640</v>
      </c>
      <c r="K817" s="5">
        <v>171223</v>
      </c>
      <c r="L817" s="5">
        <v>108920</v>
      </c>
      <c r="M817" s="5">
        <v>12554</v>
      </c>
      <c r="N817" s="5">
        <v>10285</v>
      </c>
      <c r="O817" s="5">
        <v>17232</v>
      </c>
      <c r="P817" s="5">
        <v>22232</v>
      </c>
      <c r="Q817">
        <v>4</v>
      </c>
      <c r="R817" t="s">
        <v>53</v>
      </c>
    </row>
    <row r="818" spans="1:18">
      <c r="A818" t="s">
        <v>877</v>
      </c>
      <c r="B818" s="4">
        <v>46270</v>
      </c>
      <c r="C818" t="s">
        <v>541</v>
      </c>
      <c r="D818" t="s">
        <v>231</v>
      </c>
      <c r="E818" t="s">
        <v>232</v>
      </c>
      <c r="F818" t="s">
        <v>51</v>
      </c>
      <c r="G818" t="s">
        <v>43</v>
      </c>
      <c r="H818">
        <v>1</v>
      </c>
      <c r="I818" s="5">
        <v>166645</v>
      </c>
      <c r="J818" s="5">
        <v>32233</v>
      </c>
      <c r="K818" s="5">
        <v>134412</v>
      </c>
      <c r="L818" s="5">
        <v>82457</v>
      </c>
      <c r="M818" s="5">
        <v>10053</v>
      </c>
      <c r="N818" s="5">
        <v>0</v>
      </c>
      <c r="O818" s="5">
        <v>26831</v>
      </c>
      <c r="P818" s="5">
        <v>15071</v>
      </c>
      <c r="Q818">
        <v>4</v>
      </c>
      <c r="R818" t="s">
        <v>41</v>
      </c>
    </row>
    <row r="819" spans="1:18">
      <c r="A819" t="s">
        <v>878</v>
      </c>
      <c r="B819" s="4">
        <v>46220</v>
      </c>
      <c r="C819" t="s">
        <v>541</v>
      </c>
      <c r="D819" t="s">
        <v>231</v>
      </c>
      <c r="E819" t="s">
        <v>234</v>
      </c>
      <c r="F819" t="s">
        <v>39</v>
      </c>
      <c r="G819" t="s">
        <v>43</v>
      </c>
      <c r="H819">
        <v>2</v>
      </c>
      <c r="I819" s="5">
        <v>444839</v>
      </c>
      <c r="J819" s="5">
        <v>100927</v>
      </c>
      <c r="K819" s="5">
        <v>343912</v>
      </c>
      <c r="L819" s="5">
        <v>225992</v>
      </c>
      <c r="M819" s="5">
        <v>20670</v>
      </c>
      <c r="N819" s="5">
        <v>0</v>
      </c>
      <c r="O819" s="5">
        <v>79694</v>
      </c>
      <c r="P819" s="5">
        <v>17556</v>
      </c>
      <c r="Q819">
        <v>4</v>
      </c>
      <c r="R819" t="s">
        <v>41</v>
      </c>
    </row>
    <row r="820" spans="1:18">
      <c r="A820" t="s">
        <v>879</v>
      </c>
      <c r="B820" s="4">
        <v>46267</v>
      </c>
      <c r="C820" t="s">
        <v>541</v>
      </c>
      <c r="D820" t="s">
        <v>231</v>
      </c>
      <c r="E820" t="s">
        <v>243</v>
      </c>
      <c r="F820" t="s">
        <v>49</v>
      </c>
      <c r="G820" t="s">
        <v>43</v>
      </c>
      <c r="H820">
        <v>2</v>
      </c>
      <c r="I820" s="5">
        <v>482068</v>
      </c>
      <c r="J820" s="5">
        <v>121006</v>
      </c>
      <c r="K820" s="5">
        <v>361062</v>
      </c>
      <c r="L820" s="5">
        <v>245083</v>
      </c>
      <c r="M820" s="5">
        <v>24108</v>
      </c>
      <c r="N820" s="5">
        <v>0</v>
      </c>
      <c r="O820" s="5">
        <v>66708</v>
      </c>
      <c r="P820" s="5">
        <v>25163</v>
      </c>
      <c r="Q820">
        <v>4</v>
      </c>
      <c r="R820" t="s">
        <v>41</v>
      </c>
    </row>
    <row r="821" spans="1:18">
      <c r="A821" t="s">
        <v>880</v>
      </c>
      <c r="B821" s="4">
        <v>46217</v>
      </c>
      <c r="C821" t="s">
        <v>541</v>
      </c>
      <c r="D821" t="s">
        <v>231</v>
      </c>
      <c r="E821" t="s">
        <v>234</v>
      </c>
      <c r="F821" t="s">
        <v>51</v>
      </c>
      <c r="G821" t="s">
        <v>40</v>
      </c>
      <c r="H821">
        <v>6</v>
      </c>
      <c r="I821" s="5">
        <v>404758</v>
      </c>
      <c r="J821" s="5">
        <v>89041</v>
      </c>
      <c r="K821" s="5">
        <v>315717</v>
      </c>
      <c r="L821" s="5">
        <v>228760</v>
      </c>
      <c r="M821" s="5">
        <v>26833</v>
      </c>
      <c r="N821" s="5">
        <v>0</v>
      </c>
      <c r="O821" s="5">
        <v>46943</v>
      </c>
      <c r="P821" s="5">
        <v>13181</v>
      </c>
      <c r="Q821">
        <v>5</v>
      </c>
      <c r="R821" t="s">
        <v>41</v>
      </c>
    </row>
    <row r="822" spans="1:18">
      <c r="A822" t="s">
        <v>881</v>
      </c>
      <c r="B822" s="4">
        <v>46283</v>
      </c>
      <c r="C822" t="s">
        <v>541</v>
      </c>
      <c r="D822" t="s">
        <v>231</v>
      </c>
      <c r="E822" t="s">
        <v>239</v>
      </c>
      <c r="F822" t="s">
        <v>49</v>
      </c>
      <c r="G822" t="s">
        <v>43</v>
      </c>
      <c r="H822">
        <v>4</v>
      </c>
      <c r="I822" s="5">
        <v>340506</v>
      </c>
      <c r="J822" s="5">
        <v>50303</v>
      </c>
      <c r="K822" s="5">
        <v>290203</v>
      </c>
      <c r="L822" s="5">
        <v>196219</v>
      </c>
      <c r="M822" s="5">
        <v>24559</v>
      </c>
      <c r="N822" s="5">
        <v>0</v>
      </c>
      <c r="O822" s="5">
        <v>52457</v>
      </c>
      <c r="P822" s="5">
        <v>16968</v>
      </c>
      <c r="Q822">
        <v>4</v>
      </c>
      <c r="R822" t="s">
        <v>41</v>
      </c>
    </row>
    <row r="823" spans="1:18">
      <c r="A823" t="s">
        <v>882</v>
      </c>
      <c r="B823" s="4">
        <v>46208</v>
      </c>
      <c r="C823" t="s">
        <v>541</v>
      </c>
      <c r="D823" t="s">
        <v>231</v>
      </c>
      <c r="E823" t="s">
        <v>234</v>
      </c>
      <c r="F823" t="s">
        <v>49</v>
      </c>
      <c r="G823" t="s">
        <v>43</v>
      </c>
      <c r="H823">
        <v>3</v>
      </c>
      <c r="I823" s="5">
        <v>227648</v>
      </c>
      <c r="J823" s="5">
        <v>52392</v>
      </c>
      <c r="K823" s="5">
        <v>175256</v>
      </c>
      <c r="L823" s="5">
        <v>116878</v>
      </c>
      <c r="M823" s="5">
        <v>14252</v>
      </c>
      <c r="N823" s="5">
        <v>0</v>
      </c>
      <c r="O823" s="5">
        <v>22494</v>
      </c>
      <c r="P823" s="5">
        <v>21632</v>
      </c>
      <c r="Q823">
        <v>6</v>
      </c>
      <c r="R823" t="s">
        <v>41</v>
      </c>
    </row>
    <row r="824" spans="1:18">
      <c r="A824" t="s">
        <v>883</v>
      </c>
      <c r="B824" s="4">
        <v>46218</v>
      </c>
      <c r="C824" t="s">
        <v>541</v>
      </c>
      <c r="D824" t="s">
        <v>231</v>
      </c>
      <c r="E824" t="s">
        <v>232</v>
      </c>
      <c r="F824" t="s">
        <v>39</v>
      </c>
      <c r="G824" t="s">
        <v>43</v>
      </c>
      <c r="H824">
        <v>2</v>
      </c>
      <c r="I824" s="5">
        <v>397875</v>
      </c>
      <c r="J824" s="5">
        <v>64873</v>
      </c>
      <c r="K824" s="5">
        <v>333002</v>
      </c>
      <c r="L824" s="5">
        <v>240373</v>
      </c>
      <c r="M824" s="5">
        <v>25502</v>
      </c>
      <c r="N824" s="5">
        <v>0</v>
      </c>
      <c r="O824" s="5">
        <v>48120</v>
      </c>
      <c r="P824" s="5">
        <v>19007</v>
      </c>
      <c r="Q824">
        <v>2</v>
      </c>
      <c r="R824" t="s">
        <v>41</v>
      </c>
    </row>
    <row r="825" spans="1:18">
      <c r="A825" t="s">
        <v>884</v>
      </c>
      <c r="B825" s="4">
        <v>46219</v>
      </c>
      <c r="C825" t="s">
        <v>541</v>
      </c>
      <c r="D825" t="s">
        <v>231</v>
      </c>
      <c r="E825" t="s">
        <v>239</v>
      </c>
      <c r="F825" t="s">
        <v>39</v>
      </c>
      <c r="G825" t="s">
        <v>40</v>
      </c>
      <c r="H825">
        <v>6</v>
      </c>
      <c r="I825" s="5">
        <v>314258</v>
      </c>
      <c r="J825" s="5">
        <v>66461</v>
      </c>
      <c r="K825" s="5">
        <v>247797</v>
      </c>
      <c r="L825" s="5">
        <v>172511</v>
      </c>
      <c r="M825" s="5">
        <v>17476</v>
      </c>
      <c r="N825" s="5">
        <v>0</v>
      </c>
      <c r="O825" s="5">
        <v>43412</v>
      </c>
      <c r="P825" s="5">
        <v>14398</v>
      </c>
      <c r="Q825">
        <v>5</v>
      </c>
      <c r="R825" t="s">
        <v>41</v>
      </c>
    </row>
    <row r="826" spans="1:18">
      <c r="A826" t="s">
        <v>885</v>
      </c>
      <c r="B826" s="4">
        <v>46253</v>
      </c>
      <c r="C826" t="s">
        <v>541</v>
      </c>
      <c r="D826" t="s">
        <v>231</v>
      </c>
      <c r="E826" t="s">
        <v>234</v>
      </c>
      <c r="F826" t="s">
        <v>49</v>
      </c>
      <c r="G826" t="s">
        <v>40</v>
      </c>
      <c r="H826">
        <v>5</v>
      </c>
      <c r="I826" s="5">
        <v>207632</v>
      </c>
      <c r="J826" s="5">
        <v>41812</v>
      </c>
      <c r="K826" s="5">
        <v>165820</v>
      </c>
      <c r="L826" s="5">
        <v>109337</v>
      </c>
      <c r="M826" s="5">
        <v>13958</v>
      </c>
      <c r="N826" s="5">
        <v>0</v>
      </c>
      <c r="O826" s="5">
        <v>22184</v>
      </c>
      <c r="P826" s="5">
        <v>20341</v>
      </c>
      <c r="Q826">
        <v>6</v>
      </c>
      <c r="R826" t="s">
        <v>41</v>
      </c>
    </row>
    <row r="827" spans="1:18">
      <c r="A827" t="s">
        <v>886</v>
      </c>
      <c r="B827" s="4">
        <v>46289</v>
      </c>
      <c r="C827" t="s">
        <v>541</v>
      </c>
      <c r="D827" t="s">
        <v>231</v>
      </c>
      <c r="E827" t="s">
        <v>239</v>
      </c>
      <c r="F827" t="s">
        <v>49</v>
      </c>
      <c r="G827" t="s">
        <v>43</v>
      </c>
      <c r="H827">
        <v>6</v>
      </c>
      <c r="I827" s="5">
        <v>355530</v>
      </c>
      <c r="J827" s="5">
        <v>81458</v>
      </c>
      <c r="K827" s="5">
        <v>274072</v>
      </c>
      <c r="L827" s="5">
        <v>193234</v>
      </c>
      <c r="M827" s="5">
        <v>25398</v>
      </c>
      <c r="N827" s="5">
        <v>0</v>
      </c>
      <c r="O827" s="5">
        <v>40930</v>
      </c>
      <c r="P827" s="5">
        <v>14510</v>
      </c>
      <c r="Q827">
        <v>6</v>
      </c>
      <c r="R827" t="s">
        <v>41</v>
      </c>
    </row>
    <row r="828" spans="1:18">
      <c r="A828" t="s">
        <v>887</v>
      </c>
      <c r="B828" s="4">
        <v>46267</v>
      </c>
      <c r="C828" t="s">
        <v>541</v>
      </c>
      <c r="D828" t="s">
        <v>231</v>
      </c>
      <c r="E828" t="s">
        <v>239</v>
      </c>
      <c r="F828" t="s">
        <v>39</v>
      </c>
      <c r="G828" t="s">
        <v>43</v>
      </c>
      <c r="H828">
        <v>1</v>
      </c>
      <c r="I828" s="5">
        <v>175870</v>
      </c>
      <c r="J828" s="5">
        <v>38901</v>
      </c>
      <c r="K828" s="5">
        <v>136969</v>
      </c>
      <c r="L828" s="5">
        <v>87139</v>
      </c>
      <c r="M828" s="5">
        <v>8345</v>
      </c>
      <c r="N828" s="5">
        <v>0</v>
      </c>
      <c r="O828" s="5">
        <v>27454</v>
      </c>
      <c r="P828" s="5">
        <v>14031</v>
      </c>
      <c r="Q828">
        <v>3</v>
      </c>
      <c r="R828" t="s">
        <v>41</v>
      </c>
    </row>
    <row r="829" spans="1:18">
      <c r="A829" t="s">
        <v>888</v>
      </c>
      <c r="B829" s="4">
        <v>46240</v>
      </c>
      <c r="C829" t="s">
        <v>541</v>
      </c>
      <c r="D829" t="s">
        <v>231</v>
      </c>
      <c r="E829" t="s">
        <v>239</v>
      </c>
      <c r="F829" t="s">
        <v>49</v>
      </c>
      <c r="G829" t="s">
        <v>40</v>
      </c>
      <c r="H829">
        <v>4</v>
      </c>
      <c r="I829" s="5">
        <v>314562</v>
      </c>
      <c r="J829" s="5">
        <v>74001</v>
      </c>
      <c r="K829" s="5">
        <v>240561</v>
      </c>
      <c r="L829" s="5">
        <v>161628</v>
      </c>
      <c r="M829" s="5">
        <v>17159</v>
      </c>
      <c r="N829" s="5">
        <v>0</v>
      </c>
      <c r="O829" s="5">
        <v>49045</v>
      </c>
      <c r="P829" s="5">
        <v>12729</v>
      </c>
      <c r="Q829">
        <v>5</v>
      </c>
      <c r="R829" t="s">
        <v>41</v>
      </c>
    </row>
    <row r="830" spans="1:18">
      <c r="A830" t="s">
        <v>889</v>
      </c>
      <c r="B830" s="4">
        <v>46209</v>
      </c>
      <c r="C830" t="s">
        <v>541</v>
      </c>
      <c r="D830" t="s">
        <v>231</v>
      </c>
      <c r="E830" t="s">
        <v>234</v>
      </c>
      <c r="F830" t="s">
        <v>61</v>
      </c>
      <c r="G830" t="s">
        <v>40</v>
      </c>
      <c r="H830">
        <v>4</v>
      </c>
      <c r="I830" s="5">
        <v>443910</v>
      </c>
      <c r="J830" s="5">
        <v>91269</v>
      </c>
      <c r="K830" s="5">
        <v>352641</v>
      </c>
      <c r="L830" s="5">
        <v>241963</v>
      </c>
      <c r="M830" s="5">
        <v>32374</v>
      </c>
      <c r="N830" s="5">
        <v>0</v>
      </c>
      <c r="O830" s="5">
        <v>63482</v>
      </c>
      <c r="P830" s="5">
        <v>14822</v>
      </c>
      <c r="Q830">
        <v>7</v>
      </c>
      <c r="R830" t="s">
        <v>41</v>
      </c>
    </row>
    <row r="831" spans="1:18">
      <c r="A831" t="s">
        <v>890</v>
      </c>
      <c r="B831" s="4">
        <v>46255</v>
      </c>
      <c r="C831" t="s">
        <v>541</v>
      </c>
      <c r="D831" t="s">
        <v>231</v>
      </c>
      <c r="E831" t="s">
        <v>239</v>
      </c>
      <c r="F831" t="s">
        <v>49</v>
      </c>
      <c r="G831" t="s">
        <v>43</v>
      </c>
      <c r="H831">
        <v>4</v>
      </c>
      <c r="I831" s="5">
        <v>184005</v>
      </c>
      <c r="J831" s="5">
        <v>50070</v>
      </c>
      <c r="K831" s="5">
        <v>133935</v>
      </c>
      <c r="L831" s="5">
        <v>88272</v>
      </c>
      <c r="M831" s="5">
        <v>8409</v>
      </c>
      <c r="N831" s="5">
        <v>0</v>
      </c>
      <c r="O831" s="5">
        <v>21791</v>
      </c>
      <c r="P831" s="5">
        <v>15463</v>
      </c>
      <c r="Q831">
        <v>6</v>
      </c>
      <c r="R831" t="s">
        <v>41</v>
      </c>
    </row>
    <row r="832" spans="1:18">
      <c r="A832" t="s">
        <v>891</v>
      </c>
      <c r="B832" s="4">
        <v>46219</v>
      </c>
      <c r="C832" t="s">
        <v>541</v>
      </c>
      <c r="D832" t="s">
        <v>231</v>
      </c>
      <c r="E832" t="s">
        <v>234</v>
      </c>
      <c r="F832" t="s">
        <v>49</v>
      </c>
      <c r="G832" t="s">
        <v>40</v>
      </c>
      <c r="H832">
        <v>1</v>
      </c>
      <c r="I832" s="5">
        <v>448711</v>
      </c>
      <c r="J832" s="5">
        <v>86766</v>
      </c>
      <c r="K832" s="5">
        <v>361945</v>
      </c>
      <c r="L832" s="5">
        <v>254611</v>
      </c>
      <c r="M832" s="5">
        <v>26803</v>
      </c>
      <c r="N832" s="5">
        <v>0</v>
      </c>
      <c r="O832" s="5">
        <v>61413</v>
      </c>
      <c r="P832" s="5">
        <v>19118</v>
      </c>
      <c r="Q832">
        <v>3</v>
      </c>
      <c r="R832" t="s">
        <v>41</v>
      </c>
    </row>
    <row r="833" spans="1:18">
      <c r="A833" t="s">
        <v>892</v>
      </c>
      <c r="B833" s="4">
        <v>46259</v>
      </c>
      <c r="C833" t="s">
        <v>541</v>
      </c>
      <c r="D833" t="s">
        <v>231</v>
      </c>
      <c r="E833" t="s">
        <v>232</v>
      </c>
      <c r="F833" t="s">
        <v>51</v>
      </c>
      <c r="G833" t="s">
        <v>40</v>
      </c>
      <c r="H833">
        <v>2</v>
      </c>
      <c r="I833" s="5">
        <v>453498</v>
      </c>
      <c r="J833" s="5">
        <v>104590</v>
      </c>
      <c r="K833" s="5">
        <v>348908</v>
      </c>
      <c r="L833" s="5">
        <v>224031</v>
      </c>
      <c r="M833" s="5">
        <v>32268</v>
      </c>
      <c r="N833" s="5">
        <v>0</v>
      </c>
      <c r="O833" s="5">
        <v>67218</v>
      </c>
      <c r="P833" s="5">
        <v>25391</v>
      </c>
      <c r="Q833">
        <v>7</v>
      </c>
      <c r="R833" t="s">
        <v>41</v>
      </c>
    </row>
    <row r="834" spans="1:18">
      <c r="A834" t="s">
        <v>893</v>
      </c>
      <c r="B834" s="4">
        <v>46210</v>
      </c>
      <c r="C834" t="s">
        <v>541</v>
      </c>
      <c r="D834" t="s">
        <v>231</v>
      </c>
      <c r="E834" t="s">
        <v>234</v>
      </c>
      <c r="F834" t="s">
        <v>61</v>
      </c>
      <c r="G834" t="s">
        <v>40</v>
      </c>
      <c r="H834">
        <v>1</v>
      </c>
      <c r="I834" s="5">
        <v>192004</v>
      </c>
      <c r="J834" s="5">
        <v>40250</v>
      </c>
      <c r="K834" s="5">
        <v>151754</v>
      </c>
      <c r="L834" s="5">
        <v>96533</v>
      </c>
      <c r="M834" s="5">
        <v>10442</v>
      </c>
      <c r="N834" s="5">
        <v>7370</v>
      </c>
      <c r="O834" s="5">
        <v>13777</v>
      </c>
      <c r="P834" s="5">
        <v>23632</v>
      </c>
      <c r="Q834">
        <v>1</v>
      </c>
      <c r="R834" t="s">
        <v>53</v>
      </c>
    </row>
    <row r="835" spans="1:18">
      <c r="A835" t="s">
        <v>894</v>
      </c>
      <c r="B835" s="4">
        <v>46238</v>
      </c>
      <c r="C835" t="s">
        <v>541</v>
      </c>
      <c r="D835" t="s">
        <v>231</v>
      </c>
      <c r="E835" t="s">
        <v>232</v>
      </c>
      <c r="F835" t="s">
        <v>51</v>
      </c>
      <c r="G835" t="s">
        <v>43</v>
      </c>
      <c r="H835">
        <v>1</v>
      </c>
      <c r="I835" s="5">
        <v>213091</v>
      </c>
      <c r="J835" s="5">
        <v>49665</v>
      </c>
      <c r="K835" s="5">
        <v>163426</v>
      </c>
      <c r="L835" s="5">
        <v>100019</v>
      </c>
      <c r="M835" s="5">
        <v>11911</v>
      </c>
      <c r="N835" s="5">
        <v>0</v>
      </c>
      <c r="O835" s="5">
        <v>29014</v>
      </c>
      <c r="P835" s="5">
        <v>22482</v>
      </c>
      <c r="Q835">
        <v>4</v>
      </c>
      <c r="R835" t="s">
        <v>41</v>
      </c>
    </row>
    <row r="836" spans="1:18">
      <c r="A836" t="s">
        <v>895</v>
      </c>
      <c r="B836" s="4">
        <v>46256</v>
      </c>
      <c r="C836" t="s">
        <v>541</v>
      </c>
      <c r="D836" t="s">
        <v>231</v>
      </c>
      <c r="E836" t="s">
        <v>243</v>
      </c>
      <c r="F836" t="s">
        <v>61</v>
      </c>
      <c r="G836" t="s">
        <v>40</v>
      </c>
      <c r="H836">
        <v>5</v>
      </c>
      <c r="I836" s="5">
        <v>347995</v>
      </c>
      <c r="J836" s="5">
        <v>93557</v>
      </c>
      <c r="K836" s="5">
        <v>254438</v>
      </c>
      <c r="L836" s="5">
        <v>183787</v>
      </c>
      <c r="M836" s="5">
        <v>23474</v>
      </c>
      <c r="N836" s="5">
        <v>0</v>
      </c>
      <c r="O836" s="5">
        <v>38519</v>
      </c>
      <c r="P836" s="5">
        <v>8658</v>
      </c>
      <c r="Q836">
        <v>7</v>
      </c>
      <c r="R836" t="s">
        <v>41</v>
      </c>
    </row>
    <row r="837" spans="1:18">
      <c r="A837" t="s">
        <v>896</v>
      </c>
      <c r="B837" s="4">
        <v>46215</v>
      </c>
      <c r="C837" t="s">
        <v>541</v>
      </c>
      <c r="D837" t="s">
        <v>231</v>
      </c>
      <c r="E837" t="s">
        <v>234</v>
      </c>
      <c r="F837" t="s">
        <v>39</v>
      </c>
      <c r="G837" t="s">
        <v>40</v>
      </c>
      <c r="H837">
        <v>3</v>
      </c>
      <c r="I837" s="5">
        <v>383072</v>
      </c>
      <c r="J837" s="5">
        <v>68864</v>
      </c>
      <c r="K837" s="5">
        <v>314208</v>
      </c>
      <c r="L837" s="5">
        <v>204959</v>
      </c>
      <c r="M837" s="5">
        <v>26419</v>
      </c>
      <c r="N837" s="5">
        <v>0</v>
      </c>
      <c r="O837" s="5">
        <v>59242</v>
      </c>
      <c r="P837" s="5">
        <v>23588</v>
      </c>
      <c r="Q837">
        <v>4</v>
      </c>
      <c r="R837" t="s">
        <v>41</v>
      </c>
    </row>
    <row r="838" spans="1:18">
      <c r="A838" t="s">
        <v>897</v>
      </c>
      <c r="B838" s="4">
        <v>46213</v>
      </c>
      <c r="C838" t="s">
        <v>541</v>
      </c>
      <c r="D838" t="s">
        <v>231</v>
      </c>
      <c r="E838" t="s">
        <v>239</v>
      </c>
      <c r="F838" t="s">
        <v>46</v>
      </c>
      <c r="G838" t="s">
        <v>40</v>
      </c>
      <c r="H838">
        <v>2</v>
      </c>
      <c r="I838" s="5">
        <v>201897</v>
      </c>
      <c r="J838" s="5">
        <v>31024</v>
      </c>
      <c r="K838" s="5">
        <v>170873</v>
      </c>
      <c r="L838" s="5">
        <v>114860</v>
      </c>
      <c r="M838" s="5">
        <v>13890</v>
      </c>
      <c r="N838" s="5">
        <v>0</v>
      </c>
      <c r="O838" s="5">
        <v>26602</v>
      </c>
      <c r="P838" s="5">
        <v>15521</v>
      </c>
      <c r="Q838">
        <v>3</v>
      </c>
      <c r="R838" t="s">
        <v>41</v>
      </c>
    </row>
    <row r="839" spans="1:18">
      <c r="A839" t="s">
        <v>898</v>
      </c>
      <c r="B839" s="4">
        <v>46279</v>
      </c>
      <c r="C839" t="s">
        <v>541</v>
      </c>
      <c r="D839" t="s">
        <v>231</v>
      </c>
      <c r="E839" t="s">
        <v>234</v>
      </c>
      <c r="F839" t="s">
        <v>39</v>
      </c>
      <c r="G839" t="s">
        <v>43</v>
      </c>
      <c r="H839">
        <v>6</v>
      </c>
      <c r="I839" s="5">
        <v>323413</v>
      </c>
      <c r="J839" s="5">
        <v>79024</v>
      </c>
      <c r="K839" s="5">
        <v>244389</v>
      </c>
      <c r="L839" s="5">
        <v>166866</v>
      </c>
      <c r="M839" s="5">
        <v>14948</v>
      </c>
      <c r="N839" s="5">
        <v>8490</v>
      </c>
      <c r="O839" s="5">
        <v>31102</v>
      </c>
      <c r="P839" s="5">
        <v>22983</v>
      </c>
      <c r="Q839">
        <v>4</v>
      </c>
      <c r="R839" t="s">
        <v>53</v>
      </c>
    </row>
    <row r="840" spans="1:18">
      <c r="A840" t="s">
        <v>899</v>
      </c>
      <c r="B840" s="4">
        <v>46261</v>
      </c>
      <c r="C840" t="s">
        <v>541</v>
      </c>
      <c r="D840" t="s">
        <v>231</v>
      </c>
      <c r="E840" t="s">
        <v>232</v>
      </c>
      <c r="F840" t="s">
        <v>46</v>
      </c>
      <c r="G840" t="s">
        <v>40</v>
      </c>
      <c r="H840">
        <v>1</v>
      </c>
      <c r="I840" s="5">
        <v>297031</v>
      </c>
      <c r="J840" s="5">
        <v>72336</v>
      </c>
      <c r="K840" s="5">
        <v>224695</v>
      </c>
      <c r="L840" s="5">
        <v>152583</v>
      </c>
      <c r="M840" s="5">
        <v>13761</v>
      </c>
      <c r="N840" s="5">
        <v>0</v>
      </c>
      <c r="O840" s="5">
        <v>33825</v>
      </c>
      <c r="P840" s="5">
        <v>24526</v>
      </c>
      <c r="Q840">
        <v>6</v>
      </c>
      <c r="R840" t="s">
        <v>41</v>
      </c>
    </row>
    <row r="841" spans="1:18">
      <c r="A841" t="s">
        <v>900</v>
      </c>
      <c r="B841" s="4">
        <v>46222</v>
      </c>
      <c r="C841" t="s">
        <v>541</v>
      </c>
      <c r="D841" t="s">
        <v>231</v>
      </c>
      <c r="E841" t="s">
        <v>243</v>
      </c>
      <c r="F841" t="s">
        <v>61</v>
      </c>
      <c r="G841" t="s">
        <v>40</v>
      </c>
      <c r="H841">
        <v>2</v>
      </c>
      <c r="I841" s="5">
        <v>299370</v>
      </c>
      <c r="J841" s="5">
        <v>64769</v>
      </c>
      <c r="K841" s="5">
        <v>234601</v>
      </c>
      <c r="L841" s="5">
        <v>159611</v>
      </c>
      <c r="M841" s="5">
        <v>21380</v>
      </c>
      <c r="N841" s="5">
        <v>0</v>
      </c>
      <c r="O841" s="5">
        <v>44563</v>
      </c>
      <c r="P841" s="5">
        <v>9047</v>
      </c>
      <c r="Q841">
        <v>5</v>
      </c>
      <c r="R841" t="s">
        <v>41</v>
      </c>
    </row>
    <row r="842" spans="1:18">
      <c r="A842" t="s">
        <v>901</v>
      </c>
      <c r="B842" s="4">
        <v>46249</v>
      </c>
      <c r="C842" t="s">
        <v>541</v>
      </c>
      <c r="D842" t="s">
        <v>231</v>
      </c>
      <c r="E842" t="s">
        <v>234</v>
      </c>
      <c r="F842" t="s">
        <v>61</v>
      </c>
      <c r="G842" t="s">
        <v>40</v>
      </c>
      <c r="H842">
        <v>3</v>
      </c>
      <c r="I842" s="5">
        <v>217342</v>
      </c>
      <c r="J842" s="5">
        <v>56225</v>
      </c>
      <c r="K842" s="5">
        <v>161117</v>
      </c>
      <c r="L842" s="5">
        <v>105880</v>
      </c>
      <c r="M842" s="5">
        <v>11888</v>
      </c>
      <c r="N842" s="5">
        <v>0</v>
      </c>
      <c r="O842" s="5">
        <v>32629</v>
      </c>
      <c r="P842" s="5">
        <v>10720</v>
      </c>
      <c r="Q842">
        <v>4</v>
      </c>
      <c r="R842" t="s">
        <v>41</v>
      </c>
    </row>
    <row r="843" spans="1:18">
      <c r="A843" t="s">
        <v>902</v>
      </c>
      <c r="B843" s="4">
        <v>46216</v>
      </c>
      <c r="C843" t="s">
        <v>541</v>
      </c>
      <c r="D843" t="s">
        <v>231</v>
      </c>
      <c r="E843" t="s">
        <v>239</v>
      </c>
      <c r="F843" t="s">
        <v>46</v>
      </c>
      <c r="G843" t="s">
        <v>43</v>
      </c>
      <c r="H843">
        <v>2</v>
      </c>
      <c r="I843" s="5">
        <v>212001</v>
      </c>
      <c r="J843" s="5">
        <v>42787</v>
      </c>
      <c r="K843" s="5">
        <v>169214</v>
      </c>
      <c r="L843" s="5">
        <v>109849</v>
      </c>
      <c r="M843" s="5">
        <v>12166</v>
      </c>
      <c r="N843" s="5">
        <v>6195</v>
      </c>
      <c r="O843" s="5">
        <v>23266</v>
      </c>
      <c r="P843" s="5">
        <v>17738</v>
      </c>
      <c r="Q843">
        <v>5</v>
      </c>
      <c r="R843" t="s">
        <v>53</v>
      </c>
    </row>
    <row r="844" spans="1:18">
      <c r="A844" t="s">
        <v>903</v>
      </c>
      <c r="B844" s="4">
        <v>46259</v>
      </c>
      <c r="C844" t="s">
        <v>541</v>
      </c>
      <c r="D844" t="s">
        <v>231</v>
      </c>
      <c r="E844" t="s">
        <v>239</v>
      </c>
      <c r="F844" t="s">
        <v>61</v>
      </c>
      <c r="G844" t="s">
        <v>40</v>
      </c>
      <c r="H844">
        <v>1</v>
      </c>
      <c r="I844" s="5">
        <v>283848</v>
      </c>
      <c r="J844" s="5">
        <v>59693</v>
      </c>
      <c r="K844" s="5">
        <v>224155</v>
      </c>
      <c r="L844" s="5">
        <v>146092</v>
      </c>
      <c r="M844" s="5">
        <v>16170</v>
      </c>
      <c r="N844" s="5">
        <v>0</v>
      </c>
      <c r="O844" s="5">
        <v>36919</v>
      </c>
      <c r="P844" s="5">
        <v>24974</v>
      </c>
      <c r="Q844">
        <v>6</v>
      </c>
      <c r="R844" t="s">
        <v>41</v>
      </c>
    </row>
    <row r="845" spans="1:18">
      <c r="A845" t="s">
        <v>904</v>
      </c>
      <c r="B845" s="4">
        <v>46232</v>
      </c>
      <c r="C845" t="s">
        <v>541</v>
      </c>
      <c r="D845" t="s">
        <v>231</v>
      </c>
      <c r="E845" t="s">
        <v>243</v>
      </c>
      <c r="F845" t="s">
        <v>46</v>
      </c>
      <c r="G845" t="s">
        <v>43</v>
      </c>
      <c r="H845">
        <v>1</v>
      </c>
      <c r="I845" s="5">
        <v>344902</v>
      </c>
      <c r="J845" s="5">
        <v>76636</v>
      </c>
      <c r="K845" s="5">
        <v>268266</v>
      </c>
      <c r="L845" s="5">
        <v>168567</v>
      </c>
      <c r="M845" s="5">
        <v>17430</v>
      </c>
      <c r="N845" s="5">
        <v>8398</v>
      </c>
      <c r="O845" s="5">
        <v>52333</v>
      </c>
      <c r="P845" s="5">
        <v>21538</v>
      </c>
      <c r="Q845">
        <v>5</v>
      </c>
      <c r="R845" t="s">
        <v>53</v>
      </c>
    </row>
    <row r="846" spans="1:18">
      <c r="A846" t="s">
        <v>905</v>
      </c>
      <c r="B846" s="4">
        <v>46230</v>
      </c>
      <c r="C846" t="s">
        <v>541</v>
      </c>
      <c r="D846" t="s">
        <v>231</v>
      </c>
      <c r="E846" t="s">
        <v>234</v>
      </c>
      <c r="F846" t="s">
        <v>39</v>
      </c>
      <c r="G846" t="s">
        <v>43</v>
      </c>
      <c r="H846">
        <v>6</v>
      </c>
      <c r="I846" s="5">
        <v>253765</v>
      </c>
      <c r="J846" s="5">
        <v>58942</v>
      </c>
      <c r="K846" s="5">
        <v>194823</v>
      </c>
      <c r="L846" s="5">
        <v>135045</v>
      </c>
      <c r="M846" s="5">
        <v>14520</v>
      </c>
      <c r="N846" s="5">
        <v>0</v>
      </c>
      <c r="O846" s="5">
        <v>32375</v>
      </c>
      <c r="P846" s="5">
        <v>12883</v>
      </c>
      <c r="Q846">
        <v>7</v>
      </c>
      <c r="R846" t="s">
        <v>41</v>
      </c>
    </row>
    <row r="847" spans="1:18">
      <c r="A847" t="s">
        <v>906</v>
      </c>
      <c r="B847" s="4">
        <v>46292</v>
      </c>
      <c r="C847" t="s">
        <v>541</v>
      </c>
      <c r="D847" t="s">
        <v>231</v>
      </c>
      <c r="E847" t="s">
        <v>232</v>
      </c>
      <c r="F847" t="s">
        <v>51</v>
      </c>
      <c r="G847" t="s">
        <v>43</v>
      </c>
      <c r="H847">
        <v>6</v>
      </c>
      <c r="I847" s="5">
        <v>344671</v>
      </c>
      <c r="J847" s="5">
        <v>83544</v>
      </c>
      <c r="K847" s="5">
        <v>261127</v>
      </c>
      <c r="L847" s="5">
        <v>186421</v>
      </c>
      <c r="M847" s="5">
        <v>20775</v>
      </c>
      <c r="N847" s="5">
        <v>0</v>
      </c>
      <c r="O847" s="5">
        <v>37548</v>
      </c>
      <c r="P847" s="5">
        <v>16383</v>
      </c>
      <c r="Q847">
        <v>4</v>
      </c>
      <c r="R847" t="s">
        <v>41</v>
      </c>
    </row>
    <row r="848" spans="1:18">
      <c r="A848" t="s">
        <v>907</v>
      </c>
      <c r="B848" s="4">
        <v>46246</v>
      </c>
      <c r="C848" t="s">
        <v>541</v>
      </c>
      <c r="D848" t="s">
        <v>231</v>
      </c>
      <c r="E848" t="s">
        <v>239</v>
      </c>
      <c r="F848" t="s">
        <v>51</v>
      </c>
      <c r="G848" t="s">
        <v>43</v>
      </c>
      <c r="H848">
        <v>1</v>
      </c>
      <c r="I848" s="5">
        <v>468757</v>
      </c>
      <c r="J848" s="5">
        <v>112704</v>
      </c>
      <c r="K848" s="5">
        <v>356053</v>
      </c>
      <c r="L848" s="5">
        <v>255416</v>
      </c>
      <c r="M848" s="5">
        <v>22042</v>
      </c>
      <c r="N848" s="5">
        <v>16440</v>
      </c>
      <c r="O848" s="5">
        <v>41740</v>
      </c>
      <c r="P848" s="5">
        <v>20415</v>
      </c>
      <c r="Q848">
        <v>5</v>
      </c>
      <c r="R848" t="s">
        <v>53</v>
      </c>
    </row>
    <row r="849" spans="1:18">
      <c r="A849" t="s">
        <v>908</v>
      </c>
      <c r="B849" s="4">
        <v>46204</v>
      </c>
      <c r="C849" t="s">
        <v>541</v>
      </c>
      <c r="D849" t="s">
        <v>231</v>
      </c>
      <c r="E849" t="s">
        <v>243</v>
      </c>
      <c r="F849" t="s">
        <v>51</v>
      </c>
      <c r="G849" t="s">
        <v>43</v>
      </c>
      <c r="H849">
        <v>1</v>
      </c>
      <c r="I849" s="5">
        <v>226344</v>
      </c>
      <c r="J849" s="5">
        <v>56192</v>
      </c>
      <c r="K849" s="5">
        <v>170152</v>
      </c>
      <c r="L849" s="5">
        <v>99800</v>
      </c>
      <c r="M849" s="5">
        <v>10859</v>
      </c>
      <c r="N849" s="5">
        <v>0</v>
      </c>
      <c r="O849" s="5">
        <v>35917</v>
      </c>
      <c r="P849" s="5">
        <v>23576</v>
      </c>
      <c r="Q849">
        <v>7</v>
      </c>
      <c r="R849" t="s">
        <v>41</v>
      </c>
    </row>
    <row r="850" spans="1:18">
      <c r="A850" t="s">
        <v>909</v>
      </c>
      <c r="B850" s="4">
        <v>46268</v>
      </c>
      <c r="C850" t="s">
        <v>541</v>
      </c>
      <c r="D850" t="s">
        <v>231</v>
      </c>
      <c r="E850" t="s">
        <v>232</v>
      </c>
      <c r="F850" t="s">
        <v>51</v>
      </c>
      <c r="G850" t="s">
        <v>40</v>
      </c>
      <c r="H850">
        <v>1</v>
      </c>
      <c r="I850" s="5">
        <v>427175</v>
      </c>
      <c r="J850" s="5">
        <v>96667</v>
      </c>
      <c r="K850" s="5">
        <v>330508</v>
      </c>
      <c r="L850" s="5">
        <v>232027</v>
      </c>
      <c r="M850" s="5">
        <v>22421</v>
      </c>
      <c r="N850" s="5">
        <v>0</v>
      </c>
      <c r="O850" s="5">
        <v>58593</v>
      </c>
      <c r="P850" s="5">
        <v>17467</v>
      </c>
      <c r="Q850">
        <v>4</v>
      </c>
      <c r="R850" t="s">
        <v>41</v>
      </c>
    </row>
    <row r="851" spans="1:18">
      <c r="A851" t="s">
        <v>910</v>
      </c>
      <c r="B851" s="4">
        <v>46236</v>
      </c>
      <c r="C851" t="s">
        <v>541</v>
      </c>
      <c r="D851" t="s">
        <v>231</v>
      </c>
      <c r="E851" t="s">
        <v>243</v>
      </c>
      <c r="F851" t="s">
        <v>39</v>
      </c>
      <c r="G851" t="s">
        <v>43</v>
      </c>
      <c r="H851">
        <v>4</v>
      </c>
      <c r="I851" s="5">
        <v>297815</v>
      </c>
      <c r="J851" s="5">
        <v>59795</v>
      </c>
      <c r="K851" s="5">
        <v>238020</v>
      </c>
      <c r="L851" s="5">
        <v>157157</v>
      </c>
      <c r="M851" s="5">
        <v>19492</v>
      </c>
      <c r="N851" s="5">
        <v>0</v>
      </c>
      <c r="O851" s="5">
        <v>41403</v>
      </c>
      <c r="P851" s="5">
        <v>19968</v>
      </c>
      <c r="Q851">
        <v>7</v>
      </c>
      <c r="R851" t="s">
        <v>41</v>
      </c>
    </row>
    <row r="852" spans="1:18">
      <c r="A852" t="s">
        <v>911</v>
      </c>
      <c r="B852" s="4">
        <v>46280</v>
      </c>
      <c r="C852" t="s">
        <v>541</v>
      </c>
      <c r="D852" t="s">
        <v>231</v>
      </c>
      <c r="E852" t="s">
        <v>243</v>
      </c>
      <c r="F852" t="s">
        <v>61</v>
      </c>
      <c r="G852" t="s">
        <v>43</v>
      </c>
      <c r="H852">
        <v>6</v>
      </c>
      <c r="I852" s="5">
        <v>470915</v>
      </c>
      <c r="J852" s="5">
        <v>118916</v>
      </c>
      <c r="K852" s="5">
        <v>351999</v>
      </c>
      <c r="L852" s="5">
        <v>255415</v>
      </c>
      <c r="M852" s="5">
        <v>32842</v>
      </c>
      <c r="N852" s="5">
        <v>0</v>
      </c>
      <c r="O852" s="5">
        <v>55083</v>
      </c>
      <c r="P852" s="5">
        <v>8659</v>
      </c>
      <c r="Q852">
        <v>4</v>
      </c>
      <c r="R852" t="s">
        <v>41</v>
      </c>
    </row>
    <row r="853" spans="1:18">
      <c r="A853" t="s">
        <v>912</v>
      </c>
      <c r="B853" s="4">
        <v>46222</v>
      </c>
      <c r="C853" t="s">
        <v>541</v>
      </c>
      <c r="D853" t="s">
        <v>231</v>
      </c>
      <c r="E853" t="s">
        <v>234</v>
      </c>
      <c r="F853" t="s">
        <v>46</v>
      </c>
      <c r="G853" t="s">
        <v>40</v>
      </c>
      <c r="H853">
        <v>2</v>
      </c>
      <c r="I853" s="5">
        <v>251340</v>
      </c>
      <c r="J853" s="5">
        <v>42816</v>
      </c>
      <c r="K853" s="5">
        <v>208524</v>
      </c>
      <c r="L853" s="5">
        <v>130992</v>
      </c>
      <c r="M853" s="5">
        <v>14437</v>
      </c>
      <c r="N853" s="5">
        <v>0</v>
      </c>
      <c r="O853" s="5">
        <v>43508</v>
      </c>
      <c r="P853" s="5">
        <v>19587</v>
      </c>
      <c r="Q853">
        <v>4</v>
      </c>
      <c r="R853" t="s">
        <v>41</v>
      </c>
    </row>
    <row r="854" spans="1:18">
      <c r="A854" t="s">
        <v>913</v>
      </c>
      <c r="B854" s="4">
        <v>46252</v>
      </c>
      <c r="C854" t="s">
        <v>541</v>
      </c>
      <c r="D854" t="s">
        <v>231</v>
      </c>
      <c r="E854" t="s">
        <v>239</v>
      </c>
      <c r="F854" t="s">
        <v>39</v>
      </c>
      <c r="G854" t="s">
        <v>43</v>
      </c>
      <c r="H854">
        <v>5</v>
      </c>
      <c r="I854" s="5">
        <v>257245</v>
      </c>
      <c r="J854" s="5">
        <v>44321</v>
      </c>
      <c r="K854" s="5">
        <v>212924</v>
      </c>
      <c r="L854" s="5">
        <v>135204</v>
      </c>
      <c r="M854" s="5">
        <v>12838</v>
      </c>
      <c r="N854" s="5">
        <v>12570</v>
      </c>
      <c r="O854" s="5">
        <v>27495</v>
      </c>
      <c r="P854" s="5">
        <v>24817</v>
      </c>
      <c r="Q854">
        <v>3</v>
      </c>
      <c r="R854" t="s">
        <v>53</v>
      </c>
    </row>
    <row r="855" spans="1:18">
      <c r="A855" t="s">
        <v>914</v>
      </c>
      <c r="B855" s="4">
        <v>46239</v>
      </c>
      <c r="C855" t="s">
        <v>541</v>
      </c>
      <c r="D855" t="s">
        <v>231</v>
      </c>
      <c r="E855" t="s">
        <v>234</v>
      </c>
      <c r="F855" t="s">
        <v>51</v>
      </c>
      <c r="G855" t="s">
        <v>40</v>
      </c>
      <c r="H855">
        <v>5</v>
      </c>
      <c r="I855" s="5">
        <v>316051</v>
      </c>
      <c r="J855" s="5">
        <v>80567</v>
      </c>
      <c r="K855" s="5">
        <v>235484</v>
      </c>
      <c r="L855" s="5">
        <v>157456</v>
      </c>
      <c r="M855" s="5">
        <v>16212</v>
      </c>
      <c r="N855" s="5">
        <v>0</v>
      </c>
      <c r="O855" s="5">
        <v>47666</v>
      </c>
      <c r="P855" s="5">
        <v>14150</v>
      </c>
      <c r="Q855">
        <v>8</v>
      </c>
      <c r="R855" t="s">
        <v>41</v>
      </c>
    </row>
    <row r="856" spans="1:18">
      <c r="A856" t="s">
        <v>915</v>
      </c>
      <c r="B856" s="4">
        <v>46248</v>
      </c>
      <c r="C856" t="s">
        <v>541</v>
      </c>
      <c r="D856" t="s">
        <v>231</v>
      </c>
      <c r="E856" t="s">
        <v>234</v>
      </c>
      <c r="F856" t="s">
        <v>61</v>
      </c>
      <c r="G856" t="s">
        <v>40</v>
      </c>
      <c r="H856">
        <v>4</v>
      </c>
      <c r="I856" s="5">
        <v>275709</v>
      </c>
      <c r="J856" s="5">
        <v>51877</v>
      </c>
      <c r="K856" s="5">
        <v>223832</v>
      </c>
      <c r="L856" s="5">
        <v>150197</v>
      </c>
      <c r="M856" s="5">
        <v>15801</v>
      </c>
      <c r="N856" s="5">
        <v>0</v>
      </c>
      <c r="O856" s="5">
        <v>38321</v>
      </c>
      <c r="P856" s="5">
        <v>19513</v>
      </c>
      <c r="Q856">
        <v>4</v>
      </c>
      <c r="R856" t="s">
        <v>41</v>
      </c>
    </row>
    <row r="857" spans="1:18">
      <c r="A857" t="s">
        <v>916</v>
      </c>
      <c r="B857" s="4">
        <v>46214</v>
      </c>
      <c r="C857" t="s">
        <v>541</v>
      </c>
      <c r="D857" t="s">
        <v>396</v>
      </c>
      <c r="E857" t="s">
        <v>402</v>
      </c>
      <c r="F857" t="s">
        <v>51</v>
      </c>
      <c r="G857" t="s">
        <v>43</v>
      </c>
      <c r="H857">
        <v>6</v>
      </c>
      <c r="I857" s="5">
        <v>337963</v>
      </c>
      <c r="J857" s="5">
        <v>51166</v>
      </c>
      <c r="K857" s="5">
        <v>286797</v>
      </c>
      <c r="L857" s="5">
        <v>188314</v>
      </c>
      <c r="M857" s="5">
        <v>21029</v>
      </c>
      <c r="N857" s="5">
        <v>0</v>
      </c>
      <c r="O857" s="5">
        <v>65020</v>
      </c>
      <c r="P857" s="5">
        <v>12434</v>
      </c>
      <c r="Q857">
        <v>4</v>
      </c>
      <c r="R857" t="s">
        <v>41</v>
      </c>
    </row>
    <row r="858" spans="1:18">
      <c r="A858" t="s">
        <v>917</v>
      </c>
      <c r="B858" s="4">
        <v>46242</v>
      </c>
      <c r="C858" t="s">
        <v>541</v>
      </c>
      <c r="D858" t="s">
        <v>396</v>
      </c>
      <c r="E858" t="s">
        <v>404</v>
      </c>
      <c r="F858" t="s">
        <v>61</v>
      </c>
      <c r="G858" t="s">
        <v>40</v>
      </c>
      <c r="H858">
        <v>1</v>
      </c>
      <c r="I858" s="5">
        <v>152824</v>
      </c>
      <c r="J858" s="5">
        <v>22786</v>
      </c>
      <c r="K858" s="5">
        <v>130038</v>
      </c>
      <c r="L858" s="5">
        <v>81424</v>
      </c>
      <c r="M858" s="5">
        <v>9651</v>
      </c>
      <c r="N858" s="5">
        <v>0</v>
      </c>
      <c r="O858" s="5">
        <v>21129</v>
      </c>
      <c r="P858" s="5">
        <v>17834</v>
      </c>
      <c r="Q858">
        <v>6</v>
      </c>
      <c r="R858" t="s">
        <v>41</v>
      </c>
    </row>
    <row r="859" spans="1:18">
      <c r="A859" t="s">
        <v>918</v>
      </c>
      <c r="B859" s="4">
        <v>46206</v>
      </c>
      <c r="C859" t="s">
        <v>541</v>
      </c>
      <c r="D859" t="s">
        <v>396</v>
      </c>
      <c r="E859" t="s">
        <v>402</v>
      </c>
      <c r="F859" t="s">
        <v>61</v>
      </c>
      <c r="G859" t="s">
        <v>43</v>
      </c>
      <c r="H859">
        <v>4</v>
      </c>
      <c r="I859" s="5">
        <v>278998</v>
      </c>
      <c r="J859" s="5">
        <v>41696</v>
      </c>
      <c r="K859" s="5">
        <v>237302</v>
      </c>
      <c r="L859" s="5">
        <v>156999</v>
      </c>
      <c r="M859" s="5">
        <v>20358</v>
      </c>
      <c r="N859" s="5">
        <v>0</v>
      </c>
      <c r="O859" s="5">
        <v>38279</v>
      </c>
      <c r="P859" s="5">
        <v>21666</v>
      </c>
      <c r="Q859">
        <v>2</v>
      </c>
      <c r="R859" t="s">
        <v>41</v>
      </c>
    </row>
    <row r="860" spans="1:18">
      <c r="A860" t="s">
        <v>919</v>
      </c>
      <c r="B860" s="4">
        <v>46282</v>
      </c>
      <c r="C860" t="s">
        <v>541</v>
      </c>
      <c r="D860" t="s">
        <v>396</v>
      </c>
      <c r="E860" t="s">
        <v>399</v>
      </c>
      <c r="F860" t="s">
        <v>39</v>
      </c>
      <c r="G860" t="s">
        <v>40</v>
      </c>
      <c r="H860">
        <v>3</v>
      </c>
      <c r="I860" s="5">
        <v>235659</v>
      </c>
      <c r="J860" s="5">
        <v>30054</v>
      </c>
      <c r="K860" s="5">
        <v>205605</v>
      </c>
      <c r="L860" s="5">
        <v>140016</v>
      </c>
      <c r="M860" s="5">
        <v>12767</v>
      </c>
      <c r="N860" s="5">
        <v>0</v>
      </c>
      <c r="O860" s="5">
        <v>42113</v>
      </c>
      <c r="P860" s="5">
        <v>10709</v>
      </c>
      <c r="Q860">
        <v>4</v>
      </c>
      <c r="R860" t="s">
        <v>41</v>
      </c>
    </row>
    <row r="861" spans="1:18">
      <c r="A861" t="s">
        <v>920</v>
      </c>
      <c r="B861" s="4">
        <v>46272</v>
      </c>
      <c r="C861" t="s">
        <v>541</v>
      </c>
      <c r="D861" t="s">
        <v>396</v>
      </c>
      <c r="E861" t="s">
        <v>397</v>
      </c>
      <c r="F861" t="s">
        <v>61</v>
      </c>
      <c r="G861" t="s">
        <v>40</v>
      </c>
      <c r="H861">
        <v>1</v>
      </c>
      <c r="I861" s="5">
        <v>182178</v>
      </c>
      <c r="J861" s="5">
        <v>23475</v>
      </c>
      <c r="K861" s="5">
        <v>158703</v>
      </c>
      <c r="L861" s="5">
        <v>95064</v>
      </c>
      <c r="M861" s="5">
        <v>11331</v>
      </c>
      <c r="N861" s="5">
        <v>0</v>
      </c>
      <c r="O861" s="5">
        <v>29241</v>
      </c>
      <c r="P861" s="5">
        <v>23067</v>
      </c>
      <c r="Q861">
        <v>6</v>
      </c>
      <c r="R861" t="s">
        <v>41</v>
      </c>
    </row>
    <row r="862" spans="1:18">
      <c r="A862" t="s">
        <v>921</v>
      </c>
      <c r="B862" s="4">
        <v>46287</v>
      </c>
      <c r="C862" t="s">
        <v>541</v>
      </c>
      <c r="D862" t="s">
        <v>396</v>
      </c>
      <c r="E862" t="s">
        <v>404</v>
      </c>
      <c r="F862" t="s">
        <v>39</v>
      </c>
      <c r="G862" t="s">
        <v>40</v>
      </c>
      <c r="H862">
        <v>5</v>
      </c>
      <c r="I862" s="5">
        <v>251975</v>
      </c>
      <c r="J862" s="5">
        <v>39346</v>
      </c>
      <c r="K862" s="5">
        <v>212629</v>
      </c>
      <c r="L862" s="5">
        <v>131889</v>
      </c>
      <c r="M862" s="5">
        <v>11696</v>
      </c>
      <c r="N862" s="5">
        <v>0</v>
      </c>
      <c r="O862" s="5">
        <v>45842</v>
      </c>
      <c r="P862" s="5">
        <v>23202</v>
      </c>
      <c r="Q862">
        <v>6</v>
      </c>
      <c r="R862" t="s">
        <v>41</v>
      </c>
    </row>
    <row r="863" spans="1:18">
      <c r="A863" t="s">
        <v>922</v>
      </c>
      <c r="B863" s="4">
        <v>46230</v>
      </c>
      <c r="C863" t="s">
        <v>541</v>
      </c>
      <c r="D863" t="s">
        <v>396</v>
      </c>
      <c r="E863" t="s">
        <v>402</v>
      </c>
      <c r="F863" t="s">
        <v>39</v>
      </c>
      <c r="G863" t="s">
        <v>40</v>
      </c>
      <c r="H863">
        <v>4</v>
      </c>
      <c r="I863" s="5">
        <v>147772</v>
      </c>
      <c r="J863" s="5">
        <v>14624</v>
      </c>
      <c r="K863" s="5">
        <v>133148</v>
      </c>
      <c r="L863" s="5">
        <v>84412</v>
      </c>
      <c r="M863" s="5">
        <v>7201</v>
      </c>
      <c r="N863" s="5">
        <v>0</v>
      </c>
      <c r="O863" s="5">
        <v>22598</v>
      </c>
      <c r="P863" s="5">
        <v>18937</v>
      </c>
      <c r="Q863">
        <v>7</v>
      </c>
      <c r="R863" t="s">
        <v>41</v>
      </c>
    </row>
    <row r="864" spans="1:18">
      <c r="A864" t="s">
        <v>923</v>
      </c>
      <c r="B864" s="4">
        <v>46271</v>
      </c>
      <c r="C864" t="s">
        <v>541</v>
      </c>
      <c r="D864" t="s">
        <v>396</v>
      </c>
      <c r="E864" t="s">
        <v>399</v>
      </c>
      <c r="F864" t="s">
        <v>39</v>
      </c>
      <c r="G864" t="s">
        <v>40</v>
      </c>
      <c r="H864">
        <v>1</v>
      </c>
      <c r="I864" s="5">
        <v>225559</v>
      </c>
      <c r="J864" s="5">
        <v>27261</v>
      </c>
      <c r="K864" s="5">
        <v>198298</v>
      </c>
      <c r="L864" s="5">
        <v>127585</v>
      </c>
      <c r="M864" s="5">
        <v>12194</v>
      </c>
      <c r="N864" s="5">
        <v>0</v>
      </c>
      <c r="O864" s="5">
        <v>30285</v>
      </c>
      <c r="P864" s="5">
        <v>28234</v>
      </c>
      <c r="Q864">
        <v>1</v>
      </c>
      <c r="R864" t="s">
        <v>41</v>
      </c>
    </row>
    <row r="865" spans="1:18">
      <c r="A865" t="s">
        <v>924</v>
      </c>
      <c r="B865" s="4">
        <v>46270</v>
      </c>
      <c r="C865" t="s">
        <v>541</v>
      </c>
      <c r="D865" t="s">
        <v>396</v>
      </c>
      <c r="E865" t="s">
        <v>404</v>
      </c>
      <c r="F865" t="s">
        <v>39</v>
      </c>
      <c r="G865" t="s">
        <v>40</v>
      </c>
      <c r="H865">
        <v>1</v>
      </c>
      <c r="I865" s="5">
        <v>128849</v>
      </c>
      <c r="J865" s="5">
        <v>15392</v>
      </c>
      <c r="K865" s="5">
        <v>113457</v>
      </c>
      <c r="L865" s="5">
        <v>73737</v>
      </c>
      <c r="M865" s="5">
        <v>7652</v>
      </c>
      <c r="N865" s="5">
        <v>6403</v>
      </c>
      <c r="O865" s="5">
        <v>8527</v>
      </c>
      <c r="P865" s="5">
        <v>17138</v>
      </c>
      <c r="Q865">
        <v>7</v>
      </c>
      <c r="R865" t="s">
        <v>53</v>
      </c>
    </row>
    <row r="866" spans="1:18">
      <c r="A866" t="s">
        <v>925</v>
      </c>
      <c r="B866" s="4">
        <v>46287</v>
      </c>
      <c r="C866" t="s">
        <v>541</v>
      </c>
      <c r="D866" t="s">
        <v>396</v>
      </c>
      <c r="E866" t="s">
        <v>402</v>
      </c>
      <c r="F866" t="s">
        <v>61</v>
      </c>
      <c r="G866" t="s">
        <v>40</v>
      </c>
      <c r="H866">
        <v>4</v>
      </c>
      <c r="I866" s="5">
        <v>176497</v>
      </c>
      <c r="J866" s="5">
        <v>16800</v>
      </c>
      <c r="K866" s="5">
        <v>159697</v>
      </c>
      <c r="L866" s="5">
        <v>101754</v>
      </c>
      <c r="M866" s="5">
        <v>14558</v>
      </c>
      <c r="N866" s="5">
        <v>0</v>
      </c>
      <c r="O866" s="5">
        <v>30567</v>
      </c>
      <c r="P866" s="5">
        <v>12818</v>
      </c>
      <c r="Q866">
        <v>8</v>
      </c>
      <c r="R866" t="s">
        <v>41</v>
      </c>
    </row>
    <row r="867" spans="1:18">
      <c r="A867" t="s">
        <v>926</v>
      </c>
      <c r="B867" s="4">
        <v>46211</v>
      </c>
      <c r="C867" t="s">
        <v>541</v>
      </c>
      <c r="D867" t="s">
        <v>396</v>
      </c>
      <c r="E867" t="s">
        <v>399</v>
      </c>
      <c r="F867" t="s">
        <v>49</v>
      </c>
      <c r="G867" t="s">
        <v>43</v>
      </c>
      <c r="H867">
        <v>4</v>
      </c>
      <c r="I867" s="5">
        <v>226657</v>
      </c>
      <c r="J867" s="5">
        <v>34983</v>
      </c>
      <c r="K867" s="5">
        <v>191674</v>
      </c>
      <c r="L867" s="5">
        <v>120169</v>
      </c>
      <c r="M867" s="5">
        <v>11807</v>
      </c>
      <c r="N867" s="5">
        <v>0</v>
      </c>
      <c r="O867" s="5">
        <v>31979</v>
      </c>
      <c r="P867" s="5">
        <v>27719</v>
      </c>
      <c r="Q867">
        <v>4</v>
      </c>
      <c r="R867" t="s">
        <v>41</v>
      </c>
    </row>
    <row r="868" spans="1:18">
      <c r="A868" t="s">
        <v>927</v>
      </c>
      <c r="B868" s="4">
        <v>46288</v>
      </c>
      <c r="C868" t="s">
        <v>541</v>
      </c>
      <c r="D868" t="s">
        <v>396</v>
      </c>
      <c r="E868" t="s">
        <v>402</v>
      </c>
      <c r="F868" t="s">
        <v>49</v>
      </c>
      <c r="G868" t="s">
        <v>40</v>
      </c>
      <c r="H868">
        <v>6</v>
      </c>
      <c r="I868" s="5">
        <v>174536</v>
      </c>
      <c r="J868" s="5">
        <v>30392</v>
      </c>
      <c r="K868" s="5">
        <v>144144</v>
      </c>
      <c r="L868" s="5">
        <v>89943</v>
      </c>
      <c r="M868" s="5">
        <v>8617</v>
      </c>
      <c r="N868" s="5">
        <v>0</v>
      </c>
      <c r="O868" s="5">
        <v>26368</v>
      </c>
      <c r="P868" s="5">
        <v>19216</v>
      </c>
      <c r="Q868">
        <v>6</v>
      </c>
      <c r="R868" t="s">
        <v>41</v>
      </c>
    </row>
    <row r="869" spans="1:18">
      <c r="A869" t="s">
        <v>928</v>
      </c>
      <c r="B869" s="4">
        <v>46247</v>
      </c>
      <c r="C869" t="s">
        <v>541</v>
      </c>
      <c r="D869" t="s">
        <v>396</v>
      </c>
      <c r="E869" t="s">
        <v>399</v>
      </c>
      <c r="F869" t="s">
        <v>49</v>
      </c>
      <c r="G869" t="s">
        <v>40</v>
      </c>
      <c r="H869">
        <v>1</v>
      </c>
      <c r="I869" s="5">
        <v>304452</v>
      </c>
      <c r="J869" s="5">
        <v>38104</v>
      </c>
      <c r="K869" s="5">
        <v>266348</v>
      </c>
      <c r="L869" s="5">
        <v>182192</v>
      </c>
      <c r="M869" s="5">
        <v>15634</v>
      </c>
      <c r="N869" s="5">
        <v>0</v>
      </c>
      <c r="O869" s="5">
        <v>58314</v>
      </c>
      <c r="P869" s="5">
        <v>10208</v>
      </c>
      <c r="Q869">
        <v>7</v>
      </c>
      <c r="R869" t="s">
        <v>41</v>
      </c>
    </row>
    <row r="870" spans="1:18">
      <c r="A870" t="s">
        <v>929</v>
      </c>
      <c r="B870" s="4">
        <v>46211</v>
      </c>
      <c r="C870" t="s">
        <v>541</v>
      </c>
      <c r="D870" t="s">
        <v>396</v>
      </c>
      <c r="E870" t="s">
        <v>397</v>
      </c>
      <c r="F870" t="s">
        <v>49</v>
      </c>
      <c r="G870" t="s">
        <v>43</v>
      </c>
      <c r="H870">
        <v>6</v>
      </c>
      <c r="I870" s="5">
        <v>139882</v>
      </c>
      <c r="J870" s="5">
        <v>14605</v>
      </c>
      <c r="K870" s="5">
        <v>125277</v>
      </c>
      <c r="L870" s="5">
        <v>80590</v>
      </c>
      <c r="M870" s="5">
        <v>8641</v>
      </c>
      <c r="N870" s="5">
        <v>0</v>
      </c>
      <c r="O870" s="5">
        <v>22846</v>
      </c>
      <c r="P870" s="5">
        <v>13200</v>
      </c>
      <c r="Q870">
        <v>8</v>
      </c>
      <c r="R870" t="s">
        <v>41</v>
      </c>
    </row>
    <row r="871" spans="1:18">
      <c r="A871" t="s">
        <v>930</v>
      </c>
      <c r="B871" s="4">
        <v>46276</v>
      </c>
      <c r="C871" t="s">
        <v>541</v>
      </c>
      <c r="D871" t="s">
        <v>396</v>
      </c>
      <c r="E871" t="s">
        <v>399</v>
      </c>
      <c r="F871" t="s">
        <v>51</v>
      </c>
      <c r="G871" t="s">
        <v>43</v>
      </c>
      <c r="H871">
        <v>4</v>
      </c>
      <c r="I871" s="5">
        <v>238213</v>
      </c>
      <c r="J871" s="5">
        <v>39605</v>
      </c>
      <c r="K871" s="5">
        <v>198608</v>
      </c>
      <c r="L871" s="5">
        <v>137333</v>
      </c>
      <c r="M871" s="5">
        <v>14531</v>
      </c>
      <c r="N871" s="5">
        <v>0</v>
      </c>
      <c r="O871" s="5">
        <v>26681</v>
      </c>
      <c r="P871" s="5">
        <v>20063</v>
      </c>
      <c r="Q871">
        <v>5</v>
      </c>
      <c r="R871" t="s">
        <v>41</v>
      </c>
    </row>
    <row r="872" spans="1:18">
      <c r="A872" t="s">
        <v>931</v>
      </c>
      <c r="B872" s="4">
        <v>46239</v>
      </c>
      <c r="C872" t="s">
        <v>541</v>
      </c>
      <c r="D872" t="s">
        <v>396</v>
      </c>
      <c r="E872" t="s">
        <v>397</v>
      </c>
      <c r="F872" t="s">
        <v>51</v>
      </c>
      <c r="G872" t="s">
        <v>43</v>
      </c>
      <c r="H872">
        <v>3</v>
      </c>
      <c r="I872" s="5">
        <v>117720</v>
      </c>
      <c r="J872" s="5">
        <v>16224</v>
      </c>
      <c r="K872" s="5">
        <v>101496</v>
      </c>
      <c r="L872" s="5">
        <v>56177</v>
      </c>
      <c r="M872" s="5">
        <v>4921</v>
      </c>
      <c r="N872" s="5">
        <v>0</v>
      </c>
      <c r="O872" s="5">
        <v>20099</v>
      </c>
      <c r="P872" s="5">
        <v>20299</v>
      </c>
      <c r="Q872">
        <v>2</v>
      </c>
      <c r="R872" t="s">
        <v>41</v>
      </c>
    </row>
    <row r="873" spans="1:18">
      <c r="A873" t="s">
        <v>932</v>
      </c>
      <c r="B873" s="4">
        <v>46287</v>
      </c>
      <c r="C873" t="s">
        <v>541</v>
      </c>
      <c r="D873" t="s">
        <v>396</v>
      </c>
      <c r="E873" t="s">
        <v>397</v>
      </c>
      <c r="F873" t="s">
        <v>61</v>
      </c>
      <c r="G873" t="s">
        <v>43</v>
      </c>
      <c r="H873">
        <v>5</v>
      </c>
      <c r="I873" s="5">
        <v>197106</v>
      </c>
      <c r="J873" s="5">
        <v>25849</v>
      </c>
      <c r="K873" s="5">
        <v>171257</v>
      </c>
      <c r="L873" s="5">
        <v>110638</v>
      </c>
      <c r="M873" s="5">
        <v>11108</v>
      </c>
      <c r="N873" s="5">
        <v>0</v>
      </c>
      <c r="O873" s="5">
        <v>35259</v>
      </c>
      <c r="P873" s="5">
        <v>14252</v>
      </c>
      <c r="Q873">
        <v>5</v>
      </c>
      <c r="R873" t="s">
        <v>41</v>
      </c>
    </row>
    <row r="874" spans="1:18">
      <c r="A874" t="s">
        <v>933</v>
      </c>
      <c r="B874" s="4">
        <v>46208</v>
      </c>
      <c r="C874" t="s">
        <v>541</v>
      </c>
      <c r="D874" t="s">
        <v>396</v>
      </c>
      <c r="E874" t="s">
        <v>399</v>
      </c>
      <c r="F874" t="s">
        <v>46</v>
      </c>
      <c r="G874" t="s">
        <v>40</v>
      </c>
      <c r="H874">
        <v>4</v>
      </c>
      <c r="I874" s="5">
        <v>299406</v>
      </c>
      <c r="J874" s="5">
        <v>31322</v>
      </c>
      <c r="K874" s="5">
        <v>268084</v>
      </c>
      <c r="L874" s="5">
        <v>181479</v>
      </c>
      <c r="M874" s="5">
        <v>18657</v>
      </c>
      <c r="N874" s="5">
        <v>7284</v>
      </c>
      <c r="O874" s="5">
        <v>32542</v>
      </c>
      <c r="P874" s="5">
        <v>28122</v>
      </c>
      <c r="Q874">
        <v>3</v>
      </c>
      <c r="R874" t="s">
        <v>53</v>
      </c>
    </row>
    <row r="875" spans="1:18">
      <c r="A875" t="s">
        <v>934</v>
      </c>
      <c r="B875" s="4">
        <v>46212</v>
      </c>
      <c r="C875" t="s">
        <v>541</v>
      </c>
      <c r="D875" t="s">
        <v>396</v>
      </c>
      <c r="E875" t="s">
        <v>402</v>
      </c>
      <c r="F875" t="s">
        <v>51</v>
      </c>
      <c r="G875" t="s">
        <v>43</v>
      </c>
      <c r="H875">
        <v>3</v>
      </c>
      <c r="I875" s="5">
        <v>141161</v>
      </c>
      <c r="J875" s="5">
        <v>30660</v>
      </c>
      <c r="K875" s="5">
        <v>110501</v>
      </c>
      <c r="L875" s="5">
        <v>63402</v>
      </c>
      <c r="M875" s="5">
        <v>7592</v>
      </c>
      <c r="N875" s="5">
        <v>0</v>
      </c>
      <c r="O875" s="5">
        <v>18954</v>
      </c>
      <c r="P875" s="5">
        <v>20553</v>
      </c>
      <c r="Q875">
        <v>7</v>
      </c>
      <c r="R875" t="s">
        <v>41</v>
      </c>
    </row>
    <row r="876" spans="1:18">
      <c r="A876" t="s">
        <v>935</v>
      </c>
      <c r="B876" s="4">
        <v>46287</v>
      </c>
      <c r="C876" t="s">
        <v>541</v>
      </c>
      <c r="D876" t="s">
        <v>396</v>
      </c>
      <c r="E876" t="s">
        <v>397</v>
      </c>
      <c r="F876" t="s">
        <v>51</v>
      </c>
      <c r="G876" t="s">
        <v>40</v>
      </c>
      <c r="H876">
        <v>6</v>
      </c>
      <c r="I876" s="5">
        <v>148585</v>
      </c>
      <c r="J876" s="5">
        <v>20438</v>
      </c>
      <c r="K876" s="5">
        <v>128147</v>
      </c>
      <c r="L876" s="5">
        <v>75534</v>
      </c>
      <c r="M876" s="5">
        <v>7222</v>
      </c>
      <c r="N876" s="5">
        <v>0</v>
      </c>
      <c r="O876" s="5">
        <v>25079</v>
      </c>
      <c r="P876" s="5">
        <v>20312</v>
      </c>
      <c r="Q876">
        <v>7</v>
      </c>
      <c r="R876" t="s">
        <v>41</v>
      </c>
    </row>
    <row r="877" spans="1:18">
      <c r="A877" t="s">
        <v>936</v>
      </c>
      <c r="B877" s="4">
        <v>46211</v>
      </c>
      <c r="C877" t="s">
        <v>541</v>
      </c>
      <c r="D877" t="s">
        <v>396</v>
      </c>
      <c r="E877" t="s">
        <v>399</v>
      </c>
      <c r="F877" t="s">
        <v>39</v>
      </c>
      <c r="G877" t="s">
        <v>40</v>
      </c>
      <c r="H877">
        <v>6</v>
      </c>
      <c r="I877" s="5">
        <v>342717</v>
      </c>
      <c r="J877" s="5">
        <v>65668</v>
      </c>
      <c r="K877" s="5">
        <v>277049</v>
      </c>
      <c r="L877" s="5">
        <v>199607</v>
      </c>
      <c r="M877" s="5">
        <v>21924</v>
      </c>
      <c r="N877" s="5">
        <v>15467</v>
      </c>
      <c r="O877" s="5">
        <v>26527</v>
      </c>
      <c r="P877" s="5">
        <v>13524</v>
      </c>
      <c r="Q877">
        <v>6</v>
      </c>
      <c r="R877" t="s">
        <v>53</v>
      </c>
    </row>
    <row r="878" spans="1:18">
      <c r="A878" t="s">
        <v>937</v>
      </c>
      <c r="B878" s="4">
        <v>46217</v>
      </c>
      <c r="C878" t="s">
        <v>541</v>
      </c>
      <c r="D878" t="s">
        <v>396</v>
      </c>
      <c r="E878" t="s">
        <v>397</v>
      </c>
      <c r="F878" t="s">
        <v>49</v>
      </c>
      <c r="G878" t="s">
        <v>43</v>
      </c>
      <c r="H878">
        <v>1</v>
      </c>
      <c r="I878" s="5">
        <v>314293</v>
      </c>
      <c r="J878" s="5">
        <v>56025</v>
      </c>
      <c r="K878" s="5">
        <v>258268</v>
      </c>
      <c r="L878" s="5">
        <v>178667</v>
      </c>
      <c r="M878" s="5">
        <v>15151</v>
      </c>
      <c r="N878" s="5">
        <v>0</v>
      </c>
      <c r="O878" s="5">
        <v>51389</v>
      </c>
      <c r="P878" s="5">
        <v>13061</v>
      </c>
      <c r="Q878">
        <v>3</v>
      </c>
      <c r="R878" t="s">
        <v>41</v>
      </c>
    </row>
    <row r="879" spans="1:18">
      <c r="A879" t="s">
        <v>938</v>
      </c>
      <c r="B879" s="4">
        <v>46257</v>
      </c>
      <c r="C879" t="s">
        <v>541</v>
      </c>
      <c r="D879" t="s">
        <v>396</v>
      </c>
      <c r="E879" t="s">
        <v>397</v>
      </c>
      <c r="F879" t="s">
        <v>46</v>
      </c>
      <c r="G879" t="s">
        <v>43</v>
      </c>
      <c r="H879">
        <v>2</v>
      </c>
      <c r="I879" s="5">
        <v>227335</v>
      </c>
      <c r="J879" s="5">
        <v>25989</v>
      </c>
      <c r="K879" s="5">
        <v>201346</v>
      </c>
      <c r="L879" s="5">
        <v>126379</v>
      </c>
      <c r="M879" s="5">
        <v>13336</v>
      </c>
      <c r="N879" s="5">
        <v>0</v>
      </c>
      <c r="O879" s="5">
        <v>38454</v>
      </c>
      <c r="P879" s="5">
        <v>23177</v>
      </c>
      <c r="Q879">
        <v>5</v>
      </c>
      <c r="R879" t="s">
        <v>41</v>
      </c>
    </row>
    <row r="880" spans="1:18">
      <c r="A880" t="s">
        <v>939</v>
      </c>
      <c r="B880" s="4">
        <v>46251</v>
      </c>
      <c r="C880" t="s">
        <v>541</v>
      </c>
      <c r="D880" t="s">
        <v>396</v>
      </c>
      <c r="E880" t="s">
        <v>402</v>
      </c>
      <c r="F880" t="s">
        <v>39</v>
      </c>
      <c r="G880" t="s">
        <v>40</v>
      </c>
      <c r="H880">
        <v>2</v>
      </c>
      <c r="I880" s="5">
        <v>360611</v>
      </c>
      <c r="J880" s="5">
        <v>67527</v>
      </c>
      <c r="K880" s="5">
        <v>293084</v>
      </c>
      <c r="L880" s="5">
        <v>193613</v>
      </c>
      <c r="M880" s="5">
        <v>26906</v>
      </c>
      <c r="N880" s="5">
        <v>0</v>
      </c>
      <c r="O880" s="5">
        <v>51248</v>
      </c>
      <c r="P880" s="5">
        <v>21317</v>
      </c>
      <c r="Q880">
        <v>6</v>
      </c>
      <c r="R880" t="s">
        <v>41</v>
      </c>
    </row>
    <row r="881" spans="1:18">
      <c r="A881" t="s">
        <v>940</v>
      </c>
      <c r="B881" s="4">
        <v>46244</v>
      </c>
      <c r="C881" t="s">
        <v>541</v>
      </c>
      <c r="D881" t="s">
        <v>396</v>
      </c>
      <c r="E881" t="s">
        <v>399</v>
      </c>
      <c r="F881" t="s">
        <v>51</v>
      </c>
      <c r="G881" t="s">
        <v>43</v>
      </c>
      <c r="H881">
        <v>5</v>
      </c>
      <c r="I881" s="5">
        <v>242319</v>
      </c>
      <c r="J881" s="5">
        <v>29166</v>
      </c>
      <c r="K881" s="5">
        <v>213153</v>
      </c>
      <c r="L881" s="5">
        <v>134481</v>
      </c>
      <c r="M881" s="5">
        <v>16220</v>
      </c>
      <c r="N881" s="5">
        <v>7457</v>
      </c>
      <c r="O881" s="5">
        <v>35757</v>
      </c>
      <c r="P881" s="5">
        <v>19238</v>
      </c>
      <c r="Q881">
        <v>6</v>
      </c>
      <c r="R881" t="s">
        <v>53</v>
      </c>
    </row>
    <row r="882" spans="1:18">
      <c r="A882" t="s">
        <v>941</v>
      </c>
      <c r="B882" s="4">
        <v>46232</v>
      </c>
      <c r="C882" t="s">
        <v>541</v>
      </c>
      <c r="D882" t="s">
        <v>396</v>
      </c>
      <c r="E882" t="s">
        <v>402</v>
      </c>
      <c r="F882" t="s">
        <v>49</v>
      </c>
      <c r="G882" t="s">
        <v>40</v>
      </c>
      <c r="H882">
        <v>5</v>
      </c>
      <c r="I882" s="5">
        <v>362945</v>
      </c>
      <c r="J882" s="5">
        <v>70833</v>
      </c>
      <c r="K882" s="5">
        <v>292112</v>
      </c>
      <c r="L882" s="5">
        <v>189196</v>
      </c>
      <c r="M882" s="5">
        <v>26463</v>
      </c>
      <c r="N882" s="5">
        <v>8765</v>
      </c>
      <c r="O882" s="5">
        <v>40446</v>
      </c>
      <c r="P882" s="5">
        <v>27242</v>
      </c>
      <c r="Q882">
        <v>6</v>
      </c>
      <c r="R882" t="s">
        <v>53</v>
      </c>
    </row>
    <row r="883" spans="1:18">
      <c r="A883" t="s">
        <v>942</v>
      </c>
      <c r="B883" s="4">
        <v>46228</v>
      </c>
      <c r="C883" t="s">
        <v>541</v>
      </c>
      <c r="D883" t="s">
        <v>396</v>
      </c>
      <c r="E883" t="s">
        <v>399</v>
      </c>
      <c r="F883" t="s">
        <v>51</v>
      </c>
      <c r="G883" t="s">
        <v>43</v>
      </c>
      <c r="H883">
        <v>2</v>
      </c>
      <c r="I883" s="5">
        <v>288256</v>
      </c>
      <c r="J883" s="5">
        <v>44469</v>
      </c>
      <c r="K883" s="5">
        <v>243787</v>
      </c>
      <c r="L883" s="5">
        <v>170750</v>
      </c>
      <c r="M883" s="5">
        <v>18664</v>
      </c>
      <c r="N883" s="5">
        <v>0</v>
      </c>
      <c r="O883" s="5">
        <v>41540</v>
      </c>
      <c r="P883" s="5">
        <v>12833</v>
      </c>
      <c r="Q883">
        <v>3</v>
      </c>
      <c r="R883" t="s">
        <v>41</v>
      </c>
    </row>
    <row r="884" spans="1:18">
      <c r="A884" t="s">
        <v>943</v>
      </c>
      <c r="B884" s="4">
        <v>46292</v>
      </c>
      <c r="C884" t="s">
        <v>541</v>
      </c>
      <c r="D884" t="s">
        <v>396</v>
      </c>
      <c r="E884" t="s">
        <v>404</v>
      </c>
      <c r="F884" t="s">
        <v>46</v>
      </c>
      <c r="G884" t="s">
        <v>43</v>
      </c>
      <c r="H884">
        <v>3</v>
      </c>
      <c r="I884" s="5">
        <v>155440</v>
      </c>
      <c r="J884" s="5">
        <v>26303</v>
      </c>
      <c r="K884" s="5">
        <v>129137</v>
      </c>
      <c r="L884" s="5">
        <v>72441</v>
      </c>
      <c r="M884" s="5">
        <v>7504</v>
      </c>
      <c r="N884" s="5">
        <v>0</v>
      </c>
      <c r="O884" s="5">
        <v>23428</v>
      </c>
      <c r="P884" s="5">
        <v>25764</v>
      </c>
      <c r="Q884">
        <v>1</v>
      </c>
      <c r="R884" t="s">
        <v>41</v>
      </c>
    </row>
    <row r="885" spans="1:18">
      <c r="A885" t="s">
        <v>944</v>
      </c>
      <c r="B885" s="4">
        <v>46233</v>
      </c>
      <c r="C885" t="s">
        <v>541</v>
      </c>
      <c r="D885" t="s">
        <v>396</v>
      </c>
      <c r="E885" t="s">
        <v>402</v>
      </c>
      <c r="F885" t="s">
        <v>46</v>
      </c>
      <c r="G885" t="s">
        <v>40</v>
      </c>
      <c r="H885">
        <v>5</v>
      </c>
      <c r="I885" s="5">
        <v>301934</v>
      </c>
      <c r="J885" s="5">
        <v>54157</v>
      </c>
      <c r="K885" s="5">
        <v>247777</v>
      </c>
      <c r="L885" s="5">
        <v>154238</v>
      </c>
      <c r="M885" s="5">
        <v>16727</v>
      </c>
      <c r="N885" s="5">
        <v>0</v>
      </c>
      <c r="O885" s="5">
        <v>53584</v>
      </c>
      <c r="P885" s="5">
        <v>23228</v>
      </c>
      <c r="Q885">
        <v>6</v>
      </c>
      <c r="R885" t="s">
        <v>41</v>
      </c>
    </row>
    <row r="886" spans="1:18">
      <c r="A886" t="s">
        <v>945</v>
      </c>
      <c r="B886" s="4">
        <v>46290</v>
      </c>
      <c r="C886" t="s">
        <v>541</v>
      </c>
      <c r="D886" t="s">
        <v>396</v>
      </c>
      <c r="E886" t="s">
        <v>404</v>
      </c>
      <c r="F886" t="s">
        <v>49</v>
      </c>
      <c r="G886" t="s">
        <v>43</v>
      </c>
      <c r="H886">
        <v>3</v>
      </c>
      <c r="I886" s="5">
        <v>230752</v>
      </c>
      <c r="J886" s="5">
        <v>43460</v>
      </c>
      <c r="K886" s="5">
        <v>187292</v>
      </c>
      <c r="L886" s="5">
        <v>121176</v>
      </c>
      <c r="M886" s="5">
        <v>11080</v>
      </c>
      <c r="N886" s="5">
        <v>0</v>
      </c>
      <c r="O886" s="5">
        <v>26494</v>
      </c>
      <c r="P886" s="5">
        <v>28542</v>
      </c>
      <c r="Q886">
        <v>1</v>
      </c>
      <c r="R886" t="s">
        <v>41</v>
      </c>
    </row>
    <row r="887" spans="1:18">
      <c r="A887" t="s">
        <v>946</v>
      </c>
      <c r="B887" s="4">
        <v>46229</v>
      </c>
      <c r="C887" t="s">
        <v>541</v>
      </c>
      <c r="D887" t="s">
        <v>396</v>
      </c>
      <c r="E887" t="s">
        <v>404</v>
      </c>
      <c r="F887" t="s">
        <v>46</v>
      </c>
      <c r="G887" t="s">
        <v>40</v>
      </c>
      <c r="H887">
        <v>2</v>
      </c>
      <c r="I887" s="5">
        <v>327752</v>
      </c>
      <c r="J887" s="5">
        <v>42758</v>
      </c>
      <c r="K887" s="5">
        <v>284994</v>
      </c>
      <c r="L887" s="5">
        <v>196107</v>
      </c>
      <c r="M887" s="5">
        <v>21943</v>
      </c>
      <c r="N887" s="5">
        <v>13616</v>
      </c>
      <c r="O887" s="5">
        <v>41935</v>
      </c>
      <c r="P887" s="5">
        <v>11393</v>
      </c>
      <c r="Q887">
        <v>6</v>
      </c>
      <c r="R887" t="s">
        <v>53</v>
      </c>
    </row>
    <row r="888" spans="1:18">
      <c r="A888" t="s">
        <v>947</v>
      </c>
      <c r="B888" s="4">
        <v>46220</v>
      </c>
      <c r="C888" t="s">
        <v>541</v>
      </c>
      <c r="D888" t="s">
        <v>396</v>
      </c>
      <c r="E888" t="s">
        <v>397</v>
      </c>
      <c r="F888" t="s">
        <v>46</v>
      </c>
      <c r="G888" t="s">
        <v>40</v>
      </c>
      <c r="H888">
        <v>6</v>
      </c>
      <c r="I888" s="5">
        <v>189144</v>
      </c>
      <c r="J888" s="5">
        <v>30236</v>
      </c>
      <c r="K888" s="5">
        <v>158908</v>
      </c>
      <c r="L888" s="5">
        <v>96387</v>
      </c>
      <c r="M888" s="5">
        <v>12836</v>
      </c>
      <c r="N888" s="5">
        <v>0</v>
      </c>
      <c r="O888" s="5">
        <v>22831</v>
      </c>
      <c r="P888" s="5">
        <v>26854</v>
      </c>
      <c r="Q888">
        <v>6</v>
      </c>
      <c r="R888" t="s">
        <v>41</v>
      </c>
    </row>
    <row r="889" spans="1:18">
      <c r="A889" t="s">
        <v>948</v>
      </c>
      <c r="B889" s="4">
        <v>46258</v>
      </c>
      <c r="C889" t="s">
        <v>541</v>
      </c>
      <c r="D889" t="s">
        <v>396</v>
      </c>
      <c r="E889" t="s">
        <v>399</v>
      </c>
      <c r="F889" t="s">
        <v>51</v>
      </c>
      <c r="G889" t="s">
        <v>43</v>
      </c>
      <c r="H889">
        <v>6</v>
      </c>
      <c r="I889" s="5">
        <v>125329</v>
      </c>
      <c r="J889" s="5">
        <v>18398</v>
      </c>
      <c r="K889" s="5">
        <v>106931</v>
      </c>
      <c r="L889" s="5">
        <v>63341</v>
      </c>
      <c r="M889" s="5">
        <v>7078</v>
      </c>
      <c r="N889" s="5">
        <v>0</v>
      </c>
      <c r="O889" s="5">
        <v>16787</v>
      </c>
      <c r="P889" s="5">
        <v>19725</v>
      </c>
      <c r="Q889">
        <v>6</v>
      </c>
      <c r="R889" t="s">
        <v>41</v>
      </c>
    </row>
    <row r="890" spans="1:18">
      <c r="A890" t="s">
        <v>949</v>
      </c>
      <c r="B890" s="4">
        <v>46279</v>
      </c>
      <c r="C890" t="s">
        <v>541</v>
      </c>
      <c r="D890" t="s">
        <v>396</v>
      </c>
      <c r="E890" t="s">
        <v>397</v>
      </c>
      <c r="F890" t="s">
        <v>61</v>
      </c>
      <c r="G890" t="s">
        <v>40</v>
      </c>
      <c r="H890">
        <v>6</v>
      </c>
      <c r="I890" s="5">
        <v>315821</v>
      </c>
      <c r="J890" s="5">
        <v>27879</v>
      </c>
      <c r="K890" s="5">
        <v>287942</v>
      </c>
      <c r="L890" s="5">
        <v>178630</v>
      </c>
      <c r="M890" s="5">
        <v>24800</v>
      </c>
      <c r="N890" s="5">
        <v>0</v>
      </c>
      <c r="O890" s="5">
        <v>55187</v>
      </c>
      <c r="P890" s="5">
        <v>29325</v>
      </c>
      <c r="Q890">
        <v>4</v>
      </c>
      <c r="R890" t="s">
        <v>41</v>
      </c>
    </row>
    <row r="891" spans="1:18">
      <c r="A891" t="s">
        <v>950</v>
      </c>
      <c r="B891" s="4">
        <v>46259</v>
      </c>
      <c r="C891" t="s">
        <v>541</v>
      </c>
      <c r="D891" t="s">
        <v>396</v>
      </c>
      <c r="E891" t="s">
        <v>399</v>
      </c>
      <c r="F891" t="s">
        <v>46</v>
      </c>
      <c r="G891" t="s">
        <v>40</v>
      </c>
      <c r="H891">
        <v>6</v>
      </c>
      <c r="I891" s="5">
        <v>191720</v>
      </c>
      <c r="J891" s="5">
        <v>41266</v>
      </c>
      <c r="K891" s="5">
        <v>150454</v>
      </c>
      <c r="L891" s="5">
        <v>97745</v>
      </c>
      <c r="M891" s="5">
        <v>10933</v>
      </c>
      <c r="N891" s="5">
        <v>0</v>
      </c>
      <c r="O891" s="5">
        <v>19603</v>
      </c>
      <c r="P891" s="5">
        <v>22173</v>
      </c>
      <c r="Q891">
        <v>3</v>
      </c>
      <c r="R891" t="s">
        <v>41</v>
      </c>
    </row>
    <row r="892" spans="1:18">
      <c r="A892" t="s">
        <v>951</v>
      </c>
      <c r="B892" s="4">
        <v>46279</v>
      </c>
      <c r="C892" t="s">
        <v>541</v>
      </c>
      <c r="D892" t="s">
        <v>396</v>
      </c>
      <c r="E892" t="s">
        <v>399</v>
      </c>
      <c r="F892" t="s">
        <v>46</v>
      </c>
      <c r="G892" t="s">
        <v>43</v>
      </c>
      <c r="H892">
        <v>3</v>
      </c>
      <c r="I892" s="5">
        <v>283347</v>
      </c>
      <c r="J892" s="5">
        <v>46532</v>
      </c>
      <c r="K892" s="5">
        <v>236815</v>
      </c>
      <c r="L892" s="5">
        <v>170162</v>
      </c>
      <c r="M892" s="5">
        <v>21751</v>
      </c>
      <c r="N892" s="5">
        <v>14690</v>
      </c>
      <c r="O892" s="5">
        <v>16570</v>
      </c>
      <c r="P892" s="5">
        <v>13642</v>
      </c>
      <c r="Q892">
        <v>8</v>
      </c>
      <c r="R892" t="s">
        <v>53</v>
      </c>
    </row>
    <row r="893" spans="1:18">
      <c r="A893" t="s">
        <v>952</v>
      </c>
      <c r="B893" s="4">
        <v>46247</v>
      </c>
      <c r="C893" t="s">
        <v>541</v>
      </c>
      <c r="D893" t="s">
        <v>396</v>
      </c>
      <c r="E893" t="s">
        <v>397</v>
      </c>
      <c r="F893" t="s">
        <v>49</v>
      </c>
      <c r="G893" t="s">
        <v>43</v>
      </c>
      <c r="H893">
        <v>3</v>
      </c>
      <c r="I893" s="5">
        <v>198169</v>
      </c>
      <c r="J893" s="5">
        <v>20083</v>
      </c>
      <c r="K893" s="5">
        <v>178086</v>
      </c>
      <c r="L893" s="5">
        <v>112764</v>
      </c>
      <c r="M893" s="5">
        <v>15045</v>
      </c>
      <c r="N893" s="5">
        <v>6445</v>
      </c>
      <c r="O893" s="5">
        <v>19601</v>
      </c>
      <c r="P893" s="5">
        <v>24231</v>
      </c>
      <c r="Q893">
        <v>6</v>
      </c>
      <c r="R893" t="s">
        <v>53</v>
      </c>
    </row>
    <row r="894" spans="1:18">
      <c r="A894" t="s">
        <v>953</v>
      </c>
      <c r="B894" s="4">
        <v>46230</v>
      </c>
      <c r="C894" t="s">
        <v>541</v>
      </c>
      <c r="D894" t="s">
        <v>396</v>
      </c>
      <c r="E894" t="s">
        <v>402</v>
      </c>
      <c r="F894" t="s">
        <v>49</v>
      </c>
      <c r="G894" t="s">
        <v>43</v>
      </c>
      <c r="H894">
        <v>5</v>
      </c>
      <c r="I894" s="5">
        <v>206829</v>
      </c>
      <c r="J894" s="5">
        <v>26156</v>
      </c>
      <c r="K894" s="5">
        <v>180673</v>
      </c>
      <c r="L894" s="5">
        <v>111704</v>
      </c>
      <c r="M894" s="5">
        <v>10548</v>
      </c>
      <c r="N894" s="5">
        <v>0</v>
      </c>
      <c r="O894" s="5">
        <v>38230</v>
      </c>
      <c r="P894" s="5">
        <v>20191</v>
      </c>
      <c r="Q894">
        <v>7</v>
      </c>
      <c r="R894" t="s">
        <v>41</v>
      </c>
    </row>
    <row r="895" spans="1:18">
      <c r="A895" t="s">
        <v>954</v>
      </c>
      <c r="B895" s="4">
        <v>46266</v>
      </c>
      <c r="C895" t="s">
        <v>541</v>
      </c>
      <c r="D895" t="s">
        <v>396</v>
      </c>
      <c r="E895" t="s">
        <v>402</v>
      </c>
      <c r="F895" t="s">
        <v>51</v>
      </c>
      <c r="G895" t="s">
        <v>40</v>
      </c>
      <c r="H895">
        <v>3</v>
      </c>
      <c r="I895" s="5">
        <v>336753</v>
      </c>
      <c r="J895" s="5">
        <v>54592</v>
      </c>
      <c r="K895" s="5">
        <v>282161</v>
      </c>
      <c r="L895" s="5">
        <v>184162</v>
      </c>
      <c r="M895" s="5">
        <v>17250</v>
      </c>
      <c r="N895" s="5">
        <v>0</v>
      </c>
      <c r="O895" s="5">
        <v>57512</v>
      </c>
      <c r="P895" s="5">
        <v>23237</v>
      </c>
      <c r="Q895">
        <v>4</v>
      </c>
      <c r="R895" t="s">
        <v>41</v>
      </c>
    </row>
    <row r="896" spans="1:18">
      <c r="A896" t="s">
        <v>955</v>
      </c>
      <c r="B896" s="4">
        <v>46239</v>
      </c>
      <c r="C896" t="s">
        <v>541</v>
      </c>
      <c r="D896" t="s">
        <v>396</v>
      </c>
      <c r="E896" t="s">
        <v>404</v>
      </c>
      <c r="F896" t="s">
        <v>61</v>
      </c>
      <c r="G896" t="s">
        <v>40</v>
      </c>
      <c r="H896">
        <v>5</v>
      </c>
      <c r="I896" s="5">
        <v>335307</v>
      </c>
      <c r="J896" s="5">
        <v>55383</v>
      </c>
      <c r="K896" s="5">
        <v>279924</v>
      </c>
      <c r="L896" s="5">
        <v>194437</v>
      </c>
      <c r="M896" s="5">
        <v>17005</v>
      </c>
      <c r="N896" s="5">
        <v>0</v>
      </c>
      <c r="O896" s="5">
        <v>53259</v>
      </c>
      <c r="P896" s="5">
        <v>15223</v>
      </c>
      <c r="Q896">
        <v>5</v>
      </c>
      <c r="R896" t="s">
        <v>41</v>
      </c>
    </row>
    <row r="897" spans="1:18">
      <c r="A897" t="s">
        <v>956</v>
      </c>
      <c r="B897" s="4">
        <v>46273</v>
      </c>
      <c r="C897" t="s">
        <v>541</v>
      </c>
      <c r="D897" t="s">
        <v>396</v>
      </c>
      <c r="E897" t="s">
        <v>404</v>
      </c>
      <c r="F897" t="s">
        <v>61</v>
      </c>
      <c r="G897" t="s">
        <v>43</v>
      </c>
      <c r="H897">
        <v>1</v>
      </c>
      <c r="I897" s="5">
        <v>344278</v>
      </c>
      <c r="J897" s="5">
        <v>58896</v>
      </c>
      <c r="K897" s="5">
        <v>285382</v>
      </c>
      <c r="L897" s="5">
        <v>178372</v>
      </c>
      <c r="M897" s="5">
        <v>25117</v>
      </c>
      <c r="N897" s="5">
        <v>0</v>
      </c>
      <c r="O897" s="5">
        <v>57877</v>
      </c>
      <c r="P897" s="5">
        <v>24016</v>
      </c>
      <c r="Q897">
        <v>3</v>
      </c>
      <c r="R897" t="s">
        <v>41</v>
      </c>
    </row>
    <row r="898" spans="1:18">
      <c r="A898" t="s">
        <v>957</v>
      </c>
      <c r="B898" s="4">
        <v>46220</v>
      </c>
      <c r="C898" t="s">
        <v>541</v>
      </c>
      <c r="D898" t="s">
        <v>396</v>
      </c>
      <c r="E898" t="s">
        <v>402</v>
      </c>
      <c r="F898" t="s">
        <v>39</v>
      </c>
      <c r="G898" t="s">
        <v>40</v>
      </c>
      <c r="H898">
        <v>6</v>
      </c>
      <c r="I898" s="5">
        <v>250666</v>
      </c>
      <c r="J898" s="5">
        <v>30221</v>
      </c>
      <c r="K898" s="5">
        <v>220445</v>
      </c>
      <c r="L898" s="5">
        <v>152000</v>
      </c>
      <c r="M898" s="5">
        <v>15305</v>
      </c>
      <c r="N898" s="5">
        <v>0</v>
      </c>
      <c r="O898" s="5">
        <v>31308</v>
      </c>
      <c r="P898" s="5">
        <v>21832</v>
      </c>
      <c r="Q898">
        <v>6</v>
      </c>
      <c r="R898" t="s">
        <v>41</v>
      </c>
    </row>
    <row r="899" spans="1:18">
      <c r="A899" t="s">
        <v>958</v>
      </c>
      <c r="B899" s="4">
        <v>46221</v>
      </c>
      <c r="C899" t="s">
        <v>541</v>
      </c>
      <c r="D899" t="s">
        <v>396</v>
      </c>
      <c r="E899" t="s">
        <v>399</v>
      </c>
      <c r="F899" t="s">
        <v>61</v>
      </c>
      <c r="G899" t="s">
        <v>43</v>
      </c>
      <c r="H899">
        <v>1</v>
      </c>
      <c r="I899" s="5">
        <v>154043</v>
      </c>
      <c r="J899" s="5">
        <v>18746</v>
      </c>
      <c r="K899" s="5">
        <v>135297</v>
      </c>
      <c r="L899" s="5">
        <v>81811</v>
      </c>
      <c r="M899" s="5">
        <v>8782</v>
      </c>
      <c r="N899" s="5">
        <v>0</v>
      </c>
      <c r="O899" s="5">
        <v>23035</v>
      </c>
      <c r="P899" s="5">
        <v>21669</v>
      </c>
      <c r="Q899">
        <v>2</v>
      </c>
      <c r="R899" t="s">
        <v>41</v>
      </c>
    </row>
    <row r="900" spans="1:18">
      <c r="A900" t="s">
        <v>959</v>
      </c>
      <c r="B900" s="4">
        <v>46262</v>
      </c>
      <c r="C900" t="s">
        <v>541</v>
      </c>
      <c r="D900" t="s">
        <v>396</v>
      </c>
      <c r="E900" t="s">
        <v>397</v>
      </c>
      <c r="F900" t="s">
        <v>39</v>
      </c>
      <c r="G900" t="s">
        <v>40</v>
      </c>
      <c r="H900">
        <v>4</v>
      </c>
      <c r="I900" s="5">
        <v>218434</v>
      </c>
      <c r="J900" s="5">
        <v>30386</v>
      </c>
      <c r="K900" s="5">
        <v>188048</v>
      </c>
      <c r="L900" s="5">
        <v>114198</v>
      </c>
      <c r="M900" s="5">
        <v>11020</v>
      </c>
      <c r="N900" s="5">
        <v>0</v>
      </c>
      <c r="O900" s="5">
        <v>41085</v>
      </c>
      <c r="P900" s="5">
        <v>21745</v>
      </c>
      <c r="Q900">
        <v>4</v>
      </c>
      <c r="R900" t="s">
        <v>41</v>
      </c>
    </row>
    <row r="901" spans="1:18">
      <c r="A901" t="s">
        <v>960</v>
      </c>
      <c r="B901" s="4">
        <v>46284</v>
      </c>
      <c r="C901" t="s">
        <v>541</v>
      </c>
      <c r="D901" t="s">
        <v>396</v>
      </c>
      <c r="E901" t="s">
        <v>397</v>
      </c>
      <c r="F901" t="s">
        <v>61</v>
      </c>
      <c r="G901" t="s">
        <v>40</v>
      </c>
      <c r="H901">
        <v>2</v>
      </c>
      <c r="I901" s="5">
        <v>338901</v>
      </c>
      <c r="J901" s="5">
        <v>62413</v>
      </c>
      <c r="K901" s="5">
        <v>276488</v>
      </c>
      <c r="L901" s="5">
        <v>181600</v>
      </c>
      <c r="M901" s="5">
        <v>16892</v>
      </c>
      <c r="N901" s="5">
        <v>0</v>
      </c>
      <c r="O901" s="5">
        <v>51331</v>
      </c>
      <c r="P901" s="5">
        <v>26665</v>
      </c>
      <c r="Q901">
        <v>7</v>
      </c>
      <c r="R901" t="s">
        <v>41</v>
      </c>
    </row>
    <row r="902" spans="1:18">
      <c r="A902" t="s">
        <v>961</v>
      </c>
      <c r="B902" s="4">
        <v>46266</v>
      </c>
      <c r="C902" t="s">
        <v>541</v>
      </c>
      <c r="D902" t="s">
        <v>396</v>
      </c>
      <c r="E902" t="s">
        <v>404</v>
      </c>
      <c r="F902" t="s">
        <v>46</v>
      </c>
      <c r="G902" t="s">
        <v>43</v>
      </c>
      <c r="H902">
        <v>2</v>
      </c>
      <c r="I902" s="5">
        <v>284657</v>
      </c>
      <c r="J902" s="5">
        <v>22547</v>
      </c>
      <c r="K902" s="5">
        <v>262110</v>
      </c>
      <c r="L902" s="5">
        <v>175465</v>
      </c>
      <c r="M902" s="5">
        <v>17006</v>
      </c>
      <c r="N902" s="5">
        <v>0</v>
      </c>
      <c r="O902" s="5">
        <v>58259</v>
      </c>
      <c r="P902" s="5">
        <v>11380</v>
      </c>
      <c r="Q902">
        <v>4</v>
      </c>
      <c r="R902" t="s">
        <v>41</v>
      </c>
    </row>
    <row r="903" spans="1:18">
      <c r="A903" t="s">
        <v>962</v>
      </c>
      <c r="B903" s="4">
        <v>46204</v>
      </c>
      <c r="C903" t="s">
        <v>541</v>
      </c>
      <c r="D903" t="s">
        <v>396</v>
      </c>
      <c r="E903" t="s">
        <v>402</v>
      </c>
      <c r="F903" t="s">
        <v>61</v>
      </c>
      <c r="G903" t="s">
        <v>43</v>
      </c>
      <c r="H903">
        <v>5</v>
      </c>
      <c r="I903" s="5">
        <v>153398</v>
      </c>
      <c r="J903" s="5">
        <v>24958</v>
      </c>
      <c r="K903" s="5">
        <v>128440</v>
      </c>
      <c r="L903" s="5">
        <v>90202</v>
      </c>
      <c r="M903" s="5">
        <v>11109</v>
      </c>
      <c r="N903" s="5">
        <v>0</v>
      </c>
      <c r="O903" s="5">
        <v>16512</v>
      </c>
      <c r="P903" s="5">
        <v>10617</v>
      </c>
      <c r="Q903">
        <v>9</v>
      </c>
      <c r="R903" t="s">
        <v>41</v>
      </c>
    </row>
    <row r="904" spans="1:18">
      <c r="A904" t="s">
        <v>963</v>
      </c>
      <c r="B904" s="4">
        <v>46284</v>
      </c>
      <c r="C904" t="s">
        <v>541</v>
      </c>
      <c r="D904" t="s">
        <v>396</v>
      </c>
      <c r="E904" t="s">
        <v>404</v>
      </c>
      <c r="F904" t="s">
        <v>39</v>
      </c>
      <c r="G904" t="s">
        <v>43</v>
      </c>
      <c r="H904">
        <v>5</v>
      </c>
      <c r="I904" s="5">
        <v>282356</v>
      </c>
      <c r="J904" s="5">
        <v>27625</v>
      </c>
      <c r="K904" s="5">
        <v>254731</v>
      </c>
      <c r="L904" s="5">
        <v>157210</v>
      </c>
      <c r="M904" s="5">
        <v>20130</v>
      </c>
      <c r="N904" s="5">
        <v>0</v>
      </c>
      <c r="O904" s="5">
        <v>52671</v>
      </c>
      <c r="P904" s="5">
        <v>24720</v>
      </c>
      <c r="Q904">
        <v>4</v>
      </c>
      <c r="R904" t="s">
        <v>41</v>
      </c>
    </row>
    <row r="905" spans="1:18">
      <c r="A905" t="s">
        <v>964</v>
      </c>
      <c r="B905" s="4">
        <v>46266</v>
      </c>
      <c r="C905" t="s">
        <v>541</v>
      </c>
      <c r="D905" t="s">
        <v>396</v>
      </c>
      <c r="E905" t="s">
        <v>402</v>
      </c>
      <c r="F905" t="s">
        <v>46</v>
      </c>
      <c r="G905" t="s">
        <v>43</v>
      </c>
      <c r="H905">
        <v>5</v>
      </c>
      <c r="I905" s="5">
        <v>172803</v>
      </c>
      <c r="J905" s="5">
        <v>22089</v>
      </c>
      <c r="K905" s="5">
        <v>150714</v>
      </c>
      <c r="L905" s="5">
        <v>96183</v>
      </c>
      <c r="M905" s="5">
        <v>9424</v>
      </c>
      <c r="N905" s="5">
        <v>0</v>
      </c>
      <c r="O905" s="5">
        <v>30436</v>
      </c>
      <c r="P905" s="5">
        <v>14671</v>
      </c>
      <c r="Q905">
        <v>5</v>
      </c>
      <c r="R905" t="s">
        <v>41</v>
      </c>
    </row>
    <row r="906" spans="1:18">
      <c r="A906" t="s">
        <v>965</v>
      </c>
      <c r="B906" s="4">
        <v>46240</v>
      </c>
      <c r="C906" t="s">
        <v>541</v>
      </c>
      <c r="D906" t="s">
        <v>396</v>
      </c>
      <c r="E906" t="s">
        <v>402</v>
      </c>
      <c r="F906" t="s">
        <v>46</v>
      </c>
      <c r="G906" t="s">
        <v>43</v>
      </c>
      <c r="H906">
        <v>2</v>
      </c>
      <c r="I906" s="5">
        <v>210275</v>
      </c>
      <c r="J906" s="5">
        <v>26146</v>
      </c>
      <c r="K906" s="5">
        <v>184129</v>
      </c>
      <c r="L906" s="5">
        <v>110946</v>
      </c>
      <c r="M906" s="5">
        <v>15310</v>
      </c>
      <c r="N906" s="5">
        <v>0</v>
      </c>
      <c r="O906" s="5">
        <v>34509</v>
      </c>
      <c r="P906" s="5">
        <v>23364</v>
      </c>
      <c r="Q906">
        <v>5</v>
      </c>
      <c r="R906" t="s">
        <v>41</v>
      </c>
    </row>
    <row r="907" spans="1:18">
      <c r="A907" t="s">
        <v>966</v>
      </c>
      <c r="B907" s="4">
        <v>46294</v>
      </c>
      <c r="C907" t="s">
        <v>541</v>
      </c>
      <c r="D907" t="s">
        <v>396</v>
      </c>
      <c r="E907" t="s">
        <v>404</v>
      </c>
      <c r="F907" t="s">
        <v>46</v>
      </c>
      <c r="G907" t="s">
        <v>43</v>
      </c>
      <c r="H907">
        <v>5</v>
      </c>
      <c r="I907" s="5">
        <v>161741</v>
      </c>
      <c r="J907" s="5">
        <v>21175</v>
      </c>
      <c r="K907" s="5">
        <v>140566</v>
      </c>
      <c r="L907" s="5">
        <v>86999</v>
      </c>
      <c r="M907" s="5">
        <v>8769</v>
      </c>
      <c r="N907" s="5">
        <v>6975</v>
      </c>
      <c r="O907" s="5">
        <v>17784</v>
      </c>
      <c r="P907" s="5">
        <v>20039</v>
      </c>
      <c r="Q907">
        <v>5</v>
      </c>
      <c r="R907" t="s">
        <v>53</v>
      </c>
    </row>
    <row r="908" spans="1:18">
      <c r="A908" t="s">
        <v>967</v>
      </c>
      <c r="B908" s="4">
        <v>46256</v>
      </c>
      <c r="C908" t="s">
        <v>541</v>
      </c>
      <c r="D908" t="s">
        <v>396</v>
      </c>
      <c r="E908" t="s">
        <v>397</v>
      </c>
      <c r="F908" t="s">
        <v>49</v>
      </c>
      <c r="G908" t="s">
        <v>43</v>
      </c>
      <c r="H908">
        <v>3</v>
      </c>
      <c r="I908" s="5">
        <v>183445</v>
      </c>
      <c r="J908" s="5">
        <v>21684</v>
      </c>
      <c r="K908" s="5">
        <v>161761</v>
      </c>
      <c r="L908" s="5">
        <v>97534</v>
      </c>
      <c r="M908" s="5">
        <v>11090</v>
      </c>
      <c r="N908" s="5">
        <v>0</v>
      </c>
      <c r="O908" s="5">
        <v>29491</v>
      </c>
      <c r="P908" s="5">
        <v>23646</v>
      </c>
      <c r="Q908">
        <v>6</v>
      </c>
      <c r="R908" t="s">
        <v>41</v>
      </c>
    </row>
    <row r="909" spans="1:18">
      <c r="A909" t="s">
        <v>968</v>
      </c>
      <c r="B909" s="4">
        <v>46210</v>
      </c>
      <c r="C909" t="s">
        <v>541</v>
      </c>
      <c r="D909" t="s">
        <v>396</v>
      </c>
      <c r="E909" t="s">
        <v>399</v>
      </c>
      <c r="F909" t="s">
        <v>46</v>
      </c>
      <c r="G909" t="s">
        <v>40</v>
      </c>
      <c r="H909">
        <v>3</v>
      </c>
      <c r="I909" s="5">
        <v>182826</v>
      </c>
      <c r="J909" s="5">
        <v>22605</v>
      </c>
      <c r="K909" s="5">
        <v>160221</v>
      </c>
      <c r="L909" s="5">
        <v>108183</v>
      </c>
      <c r="M909" s="5">
        <v>11066</v>
      </c>
      <c r="N909" s="5">
        <v>0</v>
      </c>
      <c r="O909" s="5">
        <v>24457</v>
      </c>
      <c r="P909" s="5">
        <v>16515</v>
      </c>
      <c r="Q909">
        <v>4</v>
      </c>
      <c r="R909" t="s">
        <v>41</v>
      </c>
    </row>
    <row r="910" spans="1:18">
      <c r="A910" t="s">
        <v>969</v>
      </c>
      <c r="B910" s="4">
        <v>46272</v>
      </c>
      <c r="C910" t="s">
        <v>541</v>
      </c>
      <c r="D910" t="s">
        <v>396</v>
      </c>
      <c r="E910" t="s">
        <v>404</v>
      </c>
      <c r="F910" t="s">
        <v>61</v>
      </c>
      <c r="G910" t="s">
        <v>43</v>
      </c>
      <c r="H910">
        <v>2</v>
      </c>
      <c r="I910" s="5">
        <v>330762</v>
      </c>
      <c r="J910" s="5">
        <v>43988</v>
      </c>
      <c r="K910" s="5">
        <v>286774</v>
      </c>
      <c r="L910" s="5">
        <v>195994</v>
      </c>
      <c r="M910" s="5">
        <v>18735</v>
      </c>
      <c r="N910" s="5">
        <v>0</v>
      </c>
      <c r="O910" s="5">
        <v>57377</v>
      </c>
      <c r="P910" s="5">
        <v>14668</v>
      </c>
      <c r="Q910">
        <v>5</v>
      </c>
      <c r="R910" t="s">
        <v>41</v>
      </c>
    </row>
    <row r="911" spans="1:18">
      <c r="A911" t="s">
        <v>970</v>
      </c>
      <c r="B911" s="4">
        <v>46249</v>
      </c>
      <c r="C911" t="s">
        <v>541</v>
      </c>
      <c r="D911" t="s">
        <v>396</v>
      </c>
      <c r="E911" t="s">
        <v>397</v>
      </c>
      <c r="F911" t="s">
        <v>61</v>
      </c>
      <c r="G911" t="s">
        <v>40</v>
      </c>
      <c r="H911">
        <v>3</v>
      </c>
      <c r="I911" s="5">
        <v>223142</v>
      </c>
      <c r="J911" s="5">
        <v>30002</v>
      </c>
      <c r="K911" s="5">
        <v>193140</v>
      </c>
      <c r="L911" s="5">
        <v>124892</v>
      </c>
      <c r="M911" s="5">
        <v>15439</v>
      </c>
      <c r="N911" s="5">
        <v>9754</v>
      </c>
      <c r="O911" s="5">
        <v>17556</v>
      </c>
      <c r="P911" s="5">
        <v>25499</v>
      </c>
      <c r="Q911">
        <v>5</v>
      </c>
      <c r="R911" t="s">
        <v>53</v>
      </c>
    </row>
    <row r="912" spans="1:18">
      <c r="A912" t="s">
        <v>971</v>
      </c>
      <c r="B912" s="4">
        <v>46241</v>
      </c>
      <c r="C912" t="s">
        <v>541</v>
      </c>
      <c r="D912" t="s">
        <v>396</v>
      </c>
      <c r="E912" t="s">
        <v>404</v>
      </c>
      <c r="F912" t="s">
        <v>39</v>
      </c>
      <c r="G912" t="s">
        <v>43</v>
      </c>
      <c r="H912">
        <v>4</v>
      </c>
      <c r="I912" s="5">
        <v>143177</v>
      </c>
      <c r="J912" s="5">
        <v>5856</v>
      </c>
      <c r="K912" s="5">
        <v>137321</v>
      </c>
      <c r="L912" s="5">
        <v>82989</v>
      </c>
      <c r="M912" s="5">
        <v>8329</v>
      </c>
      <c r="N912" s="5">
        <v>0</v>
      </c>
      <c r="O912" s="5">
        <v>18539</v>
      </c>
      <c r="P912" s="5">
        <v>27464</v>
      </c>
      <c r="Q912">
        <v>4</v>
      </c>
      <c r="R912" t="s">
        <v>41</v>
      </c>
    </row>
    <row r="913" spans="1:18">
      <c r="A913" t="s">
        <v>972</v>
      </c>
      <c r="B913" s="4">
        <v>46217</v>
      </c>
      <c r="C913" t="s">
        <v>541</v>
      </c>
      <c r="D913" t="s">
        <v>396</v>
      </c>
      <c r="E913" t="s">
        <v>402</v>
      </c>
      <c r="F913" t="s">
        <v>46</v>
      </c>
      <c r="G913" t="s">
        <v>40</v>
      </c>
      <c r="H913">
        <v>2</v>
      </c>
      <c r="I913" s="5">
        <v>303956</v>
      </c>
      <c r="J913" s="5">
        <v>46262</v>
      </c>
      <c r="K913" s="5">
        <v>257694</v>
      </c>
      <c r="L913" s="5">
        <v>177170</v>
      </c>
      <c r="M913" s="5">
        <v>14237</v>
      </c>
      <c r="N913" s="5">
        <v>15667</v>
      </c>
      <c r="O913" s="5">
        <v>24642</v>
      </c>
      <c r="P913" s="5">
        <v>25978</v>
      </c>
      <c r="Q913">
        <v>8</v>
      </c>
      <c r="R913" t="s">
        <v>53</v>
      </c>
    </row>
    <row r="914" spans="1:18">
      <c r="A914" t="s">
        <v>973</v>
      </c>
      <c r="B914" s="4">
        <v>46252</v>
      </c>
      <c r="C914" t="s">
        <v>541</v>
      </c>
      <c r="D914" t="s">
        <v>396</v>
      </c>
      <c r="E914" t="s">
        <v>402</v>
      </c>
      <c r="F914" t="s">
        <v>51</v>
      </c>
      <c r="G914" t="s">
        <v>43</v>
      </c>
      <c r="H914">
        <v>1</v>
      </c>
      <c r="I914" s="5">
        <v>311086</v>
      </c>
      <c r="J914" s="5">
        <v>43054</v>
      </c>
      <c r="K914" s="5">
        <v>268032</v>
      </c>
      <c r="L914" s="5">
        <v>188552</v>
      </c>
      <c r="M914" s="5">
        <v>22396</v>
      </c>
      <c r="N914" s="5">
        <v>15352</v>
      </c>
      <c r="O914" s="5">
        <v>29593</v>
      </c>
      <c r="P914" s="5">
        <v>12139</v>
      </c>
      <c r="Q914">
        <v>6</v>
      </c>
      <c r="R914" t="s">
        <v>53</v>
      </c>
    </row>
    <row r="915" spans="1:18">
      <c r="A915" t="s">
        <v>974</v>
      </c>
      <c r="B915" s="4">
        <v>46273</v>
      </c>
      <c r="C915" t="s">
        <v>541</v>
      </c>
      <c r="D915" t="s">
        <v>396</v>
      </c>
      <c r="E915" t="s">
        <v>404</v>
      </c>
      <c r="F915" t="s">
        <v>61</v>
      </c>
      <c r="G915" t="s">
        <v>43</v>
      </c>
      <c r="H915">
        <v>2</v>
      </c>
      <c r="I915" s="5">
        <v>145491</v>
      </c>
      <c r="J915" s="5">
        <v>25719</v>
      </c>
      <c r="K915" s="5">
        <v>119772</v>
      </c>
      <c r="L915" s="5">
        <v>71222</v>
      </c>
      <c r="M915" s="5">
        <v>8557</v>
      </c>
      <c r="N915" s="5">
        <v>5720</v>
      </c>
      <c r="O915" s="5">
        <v>10319</v>
      </c>
      <c r="P915" s="5">
        <v>23954</v>
      </c>
      <c r="Q915">
        <v>6</v>
      </c>
      <c r="R915" t="s">
        <v>53</v>
      </c>
    </row>
    <row r="916" spans="1:18">
      <c r="A916" t="s">
        <v>975</v>
      </c>
      <c r="B916" s="4">
        <v>46242</v>
      </c>
      <c r="C916" t="s">
        <v>541</v>
      </c>
      <c r="D916" t="s">
        <v>396</v>
      </c>
      <c r="E916" t="s">
        <v>399</v>
      </c>
      <c r="F916" t="s">
        <v>46</v>
      </c>
      <c r="G916" t="s">
        <v>40</v>
      </c>
      <c r="H916">
        <v>1</v>
      </c>
      <c r="I916" s="5">
        <v>249726</v>
      </c>
      <c r="J916" s="5">
        <v>43441</v>
      </c>
      <c r="K916" s="5">
        <v>206285</v>
      </c>
      <c r="L916" s="5">
        <v>136358</v>
      </c>
      <c r="M916" s="5">
        <v>13988</v>
      </c>
      <c r="N916" s="5">
        <v>0</v>
      </c>
      <c r="O916" s="5">
        <v>31313</v>
      </c>
      <c r="P916" s="5">
        <v>24626</v>
      </c>
      <c r="Q916">
        <v>2</v>
      </c>
      <c r="R916" t="s">
        <v>41</v>
      </c>
    </row>
    <row r="917" spans="1:18">
      <c r="A917" t="s">
        <v>976</v>
      </c>
      <c r="B917" s="4">
        <v>46275</v>
      </c>
      <c r="C917" t="s">
        <v>541</v>
      </c>
      <c r="D917" t="s">
        <v>396</v>
      </c>
      <c r="E917" t="s">
        <v>399</v>
      </c>
      <c r="F917" t="s">
        <v>46</v>
      </c>
      <c r="G917" t="s">
        <v>43</v>
      </c>
      <c r="H917">
        <v>6</v>
      </c>
      <c r="I917" s="5">
        <v>277541</v>
      </c>
      <c r="J917" s="5">
        <v>37585</v>
      </c>
      <c r="K917" s="5">
        <v>239956</v>
      </c>
      <c r="L917" s="5">
        <v>160544</v>
      </c>
      <c r="M917" s="5">
        <v>15922</v>
      </c>
      <c r="N917" s="5">
        <v>15261</v>
      </c>
      <c r="O917" s="5">
        <v>30503</v>
      </c>
      <c r="P917" s="5">
        <v>17726</v>
      </c>
      <c r="Q917">
        <v>8</v>
      </c>
      <c r="R917" t="s">
        <v>53</v>
      </c>
    </row>
    <row r="918" spans="1:18">
      <c r="A918" t="s">
        <v>977</v>
      </c>
      <c r="B918" s="4">
        <v>46251</v>
      </c>
      <c r="C918" t="s">
        <v>541</v>
      </c>
      <c r="D918" t="s">
        <v>396</v>
      </c>
      <c r="E918" t="s">
        <v>397</v>
      </c>
      <c r="F918" t="s">
        <v>46</v>
      </c>
      <c r="G918" t="s">
        <v>40</v>
      </c>
      <c r="H918">
        <v>5</v>
      </c>
      <c r="I918" s="5">
        <v>227758</v>
      </c>
      <c r="J918" s="5">
        <v>26045</v>
      </c>
      <c r="K918" s="5">
        <v>201713</v>
      </c>
      <c r="L918" s="5">
        <v>117343</v>
      </c>
      <c r="M918" s="5">
        <v>13753</v>
      </c>
      <c r="N918" s="5">
        <v>0</v>
      </c>
      <c r="O918" s="5">
        <v>41076</v>
      </c>
      <c r="P918" s="5">
        <v>29541</v>
      </c>
      <c r="Q918">
        <v>5</v>
      </c>
      <c r="R918" t="s">
        <v>41</v>
      </c>
    </row>
    <row r="919" spans="1:18">
      <c r="A919" t="s">
        <v>978</v>
      </c>
      <c r="B919" s="4">
        <v>46286</v>
      </c>
      <c r="C919" t="s">
        <v>541</v>
      </c>
      <c r="D919" t="s">
        <v>396</v>
      </c>
      <c r="E919" t="s">
        <v>399</v>
      </c>
      <c r="F919" t="s">
        <v>39</v>
      </c>
      <c r="G919" t="s">
        <v>40</v>
      </c>
      <c r="H919">
        <v>6</v>
      </c>
      <c r="I919" s="5">
        <v>288600</v>
      </c>
      <c r="J919" s="5">
        <v>50446</v>
      </c>
      <c r="K919" s="5">
        <v>238154</v>
      </c>
      <c r="L919" s="5">
        <v>146930</v>
      </c>
      <c r="M919" s="5">
        <v>15679</v>
      </c>
      <c r="N919" s="5">
        <v>0</v>
      </c>
      <c r="O919" s="5">
        <v>47025</v>
      </c>
      <c r="P919" s="5">
        <v>28520</v>
      </c>
      <c r="Q919">
        <v>5</v>
      </c>
      <c r="R919" t="s">
        <v>41</v>
      </c>
    </row>
    <row r="920" spans="1:18">
      <c r="A920" t="s">
        <v>979</v>
      </c>
      <c r="B920" s="4">
        <v>46235</v>
      </c>
      <c r="C920" t="s">
        <v>541</v>
      </c>
      <c r="D920" t="s">
        <v>396</v>
      </c>
      <c r="E920" t="s">
        <v>397</v>
      </c>
      <c r="F920" t="s">
        <v>51</v>
      </c>
      <c r="G920" t="s">
        <v>43</v>
      </c>
      <c r="H920">
        <v>5</v>
      </c>
      <c r="I920" s="5">
        <v>204051</v>
      </c>
      <c r="J920" s="5">
        <v>31728</v>
      </c>
      <c r="K920" s="5">
        <v>172323</v>
      </c>
      <c r="L920" s="5">
        <v>111971</v>
      </c>
      <c r="M920" s="5">
        <v>15234</v>
      </c>
      <c r="N920" s="5">
        <v>0</v>
      </c>
      <c r="O920" s="5">
        <v>33851</v>
      </c>
      <c r="P920" s="5">
        <v>11267</v>
      </c>
      <c r="Q920">
        <v>5</v>
      </c>
      <c r="R920" t="s">
        <v>41</v>
      </c>
    </row>
    <row r="921" spans="1:18">
      <c r="A921" t="s">
        <v>980</v>
      </c>
      <c r="B921" s="4">
        <v>46256</v>
      </c>
      <c r="C921" t="s">
        <v>541</v>
      </c>
      <c r="D921" t="s">
        <v>396</v>
      </c>
      <c r="E921" t="s">
        <v>399</v>
      </c>
      <c r="F921" t="s">
        <v>39</v>
      </c>
      <c r="G921" t="s">
        <v>40</v>
      </c>
      <c r="H921">
        <v>1</v>
      </c>
      <c r="I921" s="5">
        <v>204926</v>
      </c>
      <c r="J921" s="5">
        <v>33279</v>
      </c>
      <c r="K921" s="5">
        <v>171647</v>
      </c>
      <c r="L921" s="5">
        <v>118321</v>
      </c>
      <c r="M921" s="5">
        <v>14160</v>
      </c>
      <c r="N921" s="5">
        <v>7788</v>
      </c>
      <c r="O921" s="5">
        <v>16330</v>
      </c>
      <c r="P921" s="5">
        <v>15048</v>
      </c>
      <c r="Q921">
        <v>4</v>
      </c>
      <c r="R921" t="s">
        <v>53</v>
      </c>
    </row>
    <row r="922" spans="1:18">
      <c r="A922" t="s">
        <v>981</v>
      </c>
      <c r="B922" s="4">
        <v>46275</v>
      </c>
      <c r="C922" t="s">
        <v>541</v>
      </c>
      <c r="D922" t="s">
        <v>396</v>
      </c>
      <c r="E922" t="s">
        <v>402</v>
      </c>
      <c r="F922" t="s">
        <v>49</v>
      </c>
      <c r="G922" t="s">
        <v>43</v>
      </c>
      <c r="H922">
        <v>3</v>
      </c>
      <c r="I922" s="5">
        <v>220809</v>
      </c>
      <c r="J922" s="5">
        <v>26584</v>
      </c>
      <c r="K922" s="5">
        <v>194225</v>
      </c>
      <c r="L922" s="5">
        <v>131457</v>
      </c>
      <c r="M922" s="5">
        <v>11047</v>
      </c>
      <c r="N922" s="5">
        <v>0</v>
      </c>
      <c r="O922" s="5">
        <v>40945</v>
      </c>
      <c r="P922" s="5">
        <v>10776</v>
      </c>
      <c r="Q922">
        <v>7</v>
      </c>
      <c r="R922" t="s">
        <v>41</v>
      </c>
    </row>
    <row r="923" spans="1:18">
      <c r="A923" t="s">
        <v>982</v>
      </c>
      <c r="B923" s="4">
        <v>46214</v>
      </c>
      <c r="C923" t="s">
        <v>541</v>
      </c>
      <c r="D923" t="s">
        <v>396</v>
      </c>
      <c r="E923" t="s">
        <v>397</v>
      </c>
      <c r="F923" t="s">
        <v>46</v>
      </c>
      <c r="G923" t="s">
        <v>40</v>
      </c>
      <c r="H923">
        <v>4</v>
      </c>
      <c r="I923" s="5">
        <v>351634</v>
      </c>
      <c r="J923" s="5">
        <v>57962</v>
      </c>
      <c r="K923" s="5">
        <v>293672</v>
      </c>
      <c r="L923" s="5">
        <v>193808</v>
      </c>
      <c r="M923" s="5">
        <v>21306</v>
      </c>
      <c r="N923" s="5">
        <v>0</v>
      </c>
      <c r="O923" s="5">
        <v>53496</v>
      </c>
      <c r="P923" s="5">
        <v>25062</v>
      </c>
      <c r="Q923">
        <v>5</v>
      </c>
      <c r="R923" t="s">
        <v>41</v>
      </c>
    </row>
    <row r="924" spans="1:18">
      <c r="A924" t="s">
        <v>983</v>
      </c>
      <c r="B924" s="4">
        <v>46218</v>
      </c>
      <c r="C924" t="s">
        <v>541</v>
      </c>
      <c r="D924" t="s">
        <v>396</v>
      </c>
      <c r="E924" t="s">
        <v>397</v>
      </c>
      <c r="F924" t="s">
        <v>46</v>
      </c>
      <c r="G924" t="s">
        <v>43</v>
      </c>
      <c r="H924">
        <v>2</v>
      </c>
      <c r="I924" s="5">
        <v>225672</v>
      </c>
      <c r="J924" s="5">
        <v>32506</v>
      </c>
      <c r="K924" s="5">
        <v>193166</v>
      </c>
      <c r="L924" s="5">
        <v>126671</v>
      </c>
      <c r="M924" s="5">
        <v>11304</v>
      </c>
      <c r="N924" s="5">
        <v>0</v>
      </c>
      <c r="O924" s="5">
        <v>36313</v>
      </c>
      <c r="P924" s="5">
        <v>18878</v>
      </c>
      <c r="Q924">
        <v>6</v>
      </c>
      <c r="R924" t="s">
        <v>41</v>
      </c>
    </row>
    <row r="925" spans="1:18">
      <c r="A925" t="s">
        <v>984</v>
      </c>
      <c r="B925" s="4">
        <v>46205</v>
      </c>
      <c r="C925" t="s">
        <v>541</v>
      </c>
      <c r="D925" t="s">
        <v>396</v>
      </c>
      <c r="E925" t="s">
        <v>399</v>
      </c>
      <c r="F925" t="s">
        <v>61</v>
      </c>
      <c r="G925" t="s">
        <v>43</v>
      </c>
      <c r="H925">
        <v>3</v>
      </c>
      <c r="I925" s="5">
        <v>318945</v>
      </c>
      <c r="J925" s="5">
        <v>35097</v>
      </c>
      <c r="K925" s="5">
        <v>283848</v>
      </c>
      <c r="L925" s="5">
        <v>184447</v>
      </c>
      <c r="M925" s="5">
        <v>25291</v>
      </c>
      <c r="N925" s="5">
        <v>0</v>
      </c>
      <c r="O925" s="5">
        <v>56579</v>
      </c>
      <c r="P925" s="5">
        <v>17531</v>
      </c>
      <c r="Q925">
        <v>4</v>
      </c>
      <c r="R925" t="s">
        <v>41</v>
      </c>
    </row>
    <row r="926" spans="1:18">
      <c r="A926" t="s">
        <v>985</v>
      </c>
      <c r="B926" s="4">
        <v>46276</v>
      </c>
      <c r="C926" t="s">
        <v>541</v>
      </c>
      <c r="D926" t="s">
        <v>396</v>
      </c>
      <c r="E926" t="s">
        <v>404</v>
      </c>
      <c r="F926" t="s">
        <v>51</v>
      </c>
      <c r="G926" t="s">
        <v>43</v>
      </c>
      <c r="H926">
        <v>5</v>
      </c>
      <c r="I926" s="5">
        <v>121096</v>
      </c>
      <c r="J926" s="5">
        <v>15314</v>
      </c>
      <c r="K926" s="5">
        <v>105782</v>
      </c>
      <c r="L926" s="5">
        <v>59610</v>
      </c>
      <c r="M926" s="5">
        <v>6168</v>
      </c>
      <c r="N926" s="5">
        <v>0</v>
      </c>
      <c r="O926" s="5">
        <v>18848</v>
      </c>
      <c r="P926" s="5">
        <v>21156</v>
      </c>
      <c r="Q926">
        <v>2</v>
      </c>
      <c r="R926" t="s">
        <v>41</v>
      </c>
    </row>
    <row r="927" spans="1:18">
      <c r="A927" t="s">
        <v>986</v>
      </c>
      <c r="B927" s="4">
        <v>46264</v>
      </c>
      <c r="C927" t="s">
        <v>541</v>
      </c>
      <c r="D927" t="s">
        <v>396</v>
      </c>
      <c r="E927" t="s">
        <v>402</v>
      </c>
      <c r="F927" t="s">
        <v>51</v>
      </c>
      <c r="G927" t="s">
        <v>43</v>
      </c>
      <c r="H927">
        <v>6</v>
      </c>
      <c r="I927" s="5">
        <v>287617</v>
      </c>
      <c r="J927" s="5">
        <v>33065</v>
      </c>
      <c r="K927" s="5">
        <v>254552</v>
      </c>
      <c r="L927" s="5">
        <v>186776</v>
      </c>
      <c r="M927" s="5">
        <v>18258</v>
      </c>
      <c r="N927" s="5">
        <v>0</v>
      </c>
      <c r="O927" s="5">
        <v>38902</v>
      </c>
      <c r="P927" s="5">
        <v>10616</v>
      </c>
      <c r="Q927">
        <v>3</v>
      </c>
      <c r="R927" t="s">
        <v>41</v>
      </c>
    </row>
    <row r="928" spans="1:18">
      <c r="A928" t="s">
        <v>987</v>
      </c>
      <c r="B928" s="4">
        <v>46205</v>
      </c>
      <c r="C928" t="s">
        <v>541</v>
      </c>
      <c r="D928" t="s">
        <v>396</v>
      </c>
      <c r="E928" t="s">
        <v>399</v>
      </c>
      <c r="F928" t="s">
        <v>46</v>
      </c>
      <c r="G928" t="s">
        <v>40</v>
      </c>
      <c r="H928">
        <v>2</v>
      </c>
      <c r="I928" s="5">
        <v>135478</v>
      </c>
      <c r="J928" s="5">
        <v>17236</v>
      </c>
      <c r="K928" s="5">
        <v>118242</v>
      </c>
      <c r="L928" s="5">
        <v>72489</v>
      </c>
      <c r="M928" s="5">
        <v>8480</v>
      </c>
      <c r="N928" s="5">
        <v>0</v>
      </c>
      <c r="O928" s="5">
        <v>23757</v>
      </c>
      <c r="P928" s="5">
        <v>13516</v>
      </c>
      <c r="Q928">
        <v>2</v>
      </c>
      <c r="R928" t="s">
        <v>41</v>
      </c>
    </row>
    <row r="929" spans="1:18">
      <c r="A929" t="s">
        <v>988</v>
      </c>
      <c r="B929" s="4">
        <v>46216</v>
      </c>
      <c r="C929" t="s">
        <v>541</v>
      </c>
      <c r="D929" t="s">
        <v>396</v>
      </c>
      <c r="E929" t="s">
        <v>402</v>
      </c>
      <c r="F929" t="s">
        <v>39</v>
      </c>
      <c r="G929" t="s">
        <v>40</v>
      </c>
      <c r="H929">
        <v>1</v>
      </c>
      <c r="I929" s="5">
        <v>132860</v>
      </c>
      <c r="J929" s="5">
        <v>4137</v>
      </c>
      <c r="K929" s="5">
        <v>128723</v>
      </c>
      <c r="L929" s="5">
        <v>79305</v>
      </c>
      <c r="M929" s="5">
        <v>10262</v>
      </c>
      <c r="N929" s="5">
        <v>0</v>
      </c>
      <c r="O929" s="5">
        <v>26972</v>
      </c>
      <c r="P929" s="5">
        <v>12184</v>
      </c>
      <c r="Q929">
        <v>6</v>
      </c>
      <c r="R929" t="s">
        <v>41</v>
      </c>
    </row>
    <row r="930" spans="1:18">
      <c r="A930" t="s">
        <v>989</v>
      </c>
      <c r="B930" s="4">
        <v>46248</v>
      </c>
      <c r="C930" t="s">
        <v>541</v>
      </c>
      <c r="D930" t="s">
        <v>396</v>
      </c>
      <c r="E930" t="s">
        <v>397</v>
      </c>
      <c r="F930" t="s">
        <v>51</v>
      </c>
      <c r="G930" t="s">
        <v>43</v>
      </c>
      <c r="H930">
        <v>3</v>
      </c>
      <c r="I930" s="5">
        <v>316484</v>
      </c>
      <c r="J930" s="5">
        <v>33783</v>
      </c>
      <c r="K930" s="5">
        <v>282701</v>
      </c>
      <c r="L930" s="5">
        <v>180875</v>
      </c>
      <c r="M930" s="5">
        <v>22530</v>
      </c>
      <c r="N930" s="5">
        <v>0</v>
      </c>
      <c r="O930" s="5">
        <v>60258</v>
      </c>
      <c r="P930" s="5">
        <v>19038</v>
      </c>
      <c r="Q930">
        <v>4</v>
      </c>
      <c r="R930" t="s">
        <v>41</v>
      </c>
    </row>
    <row r="931" spans="1:18">
      <c r="A931" t="s">
        <v>990</v>
      </c>
      <c r="B931" s="4">
        <v>46255</v>
      </c>
      <c r="C931" t="s">
        <v>541</v>
      </c>
      <c r="D931" t="s">
        <v>396</v>
      </c>
      <c r="E931" t="s">
        <v>399</v>
      </c>
      <c r="F931" t="s">
        <v>49</v>
      </c>
      <c r="G931" t="s">
        <v>40</v>
      </c>
      <c r="H931">
        <v>1</v>
      </c>
      <c r="I931" s="5">
        <v>311609</v>
      </c>
      <c r="J931" s="5">
        <v>53066</v>
      </c>
      <c r="K931" s="5">
        <v>258543</v>
      </c>
      <c r="L931" s="5">
        <v>180108</v>
      </c>
      <c r="M931" s="5">
        <v>17757</v>
      </c>
      <c r="N931" s="5">
        <v>0</v>
      </c>
      <c r="O931" s="5">
        <v>47982</v>
      </c>
      <c r="P931" s="5">
        <v>12696</v>
      </c>
      <c r="Q931">
        <v>2</v>
      </c>
      <c r="R931" t="s">
        <v>41</v>
      </c>
    </row>
    <row r="932" spans="1:18">
      <c r="A932" t="s">
        <v>991</v>
      </c>
      <c r="B932" s="4">
        <v>46220</v>
      </c>
      <c r="C932" t="s">
        <v>541</v>
      </c>
      <c r="D932" t="s">
        <v>396</v>
      </c>
      <c r="E932" t="s">
        <v>402</v>
      </c>
      <c r="F932" t="s">
        <v>39</v>
      </c>
      <c r="G932" t="s">
        <v>43</v>
      </c>
      <c r="H932">
        <v>6</v>
      </c>
      <c r="I932" s="5">
        <v>248487</v>
      </c>
      <c r="J932" s="5">
        <v>31401</v>
      </c>
      <c r="K932" s="5">
        <v>217086</v>
      </c>
      <c r="L932" s="5">
        <v>135894</v>
      </c>
      <c r="M932" s="5">
        <v>13042</v>
      </c>
      <c r="N932" s="5">
        <v>0</v>
      </c>
      <c r="O932" s="5">
        <v>45344</v>
      </c>
      <c r="P932" s="5">
        <v>22806</v>
      </c>
      <c r="Q932">
        <v>5</v>
      </c>
      <c r="R932" t="s">
        <v>41</v>
      </c>
    </row>
    <row r="933" spans="1:18">
      <c r="A933" t="s">
        <v>992</v>
      </c>
      <c r="B933" s="4">
        <v>46231</v>
      </c>
      <c r="C933" t="s">
        <v>541</v>
      </c>
      <c r="D933" t="s">
        <v>396</v>
      </c>
      <c r="E933" t="s">
        <v>397</v>
      </c>
      <c r="F933" t="s">
        <v>49</v>
      </c>
      <c r="G933" t="s">
        <v>40</v>
      </c>
      <c r="H933">
        <v>2</v>
      </c>
      <c r="I933" s="5">
        <v>212902</v>
      </c>
      <c r="J933" s="5">
        <v>37454</v>
      </c>
      <c r="K933" s="5">
        <v>175448</v>
      </c>
      <c r="L933" s="5">
        <v>111472</v>
      </c>
      <c r="M933" s="5">
        <v>10293</v>
      </c>
      <c r="N933" s="5">
        <v>0</v>
      </c>
      <c r="O933" s="5">
        <v>32500</v>
      </c>
      <c r="P933" s="5">
        <v>21183</v>
      </c>
      <c r="Q933">
        <v>4</v>
      </c>
      <c r="R933" t="s">
        <v>41</v>
      </c>
    </row>
    <row r="934" spans="1:18">
      <c r="A934" t="s">
        <v>993</v>
      </c>
      <c r="B934" s="4">
        <v>46260</v>
      </c>
      <c r="C934" t="s">
        <v>541</v>
      </c>
      <c r="D934" t="s">
        <v>396</v>
      </c>
      <c r="E934" t="s">
        <v>402</v>
      </c>
      <c r="F934" t="s">
        <v>46</v>
      </c>
      <c r="G934" t="s">
        <v>43</v>
      </c>
      <c r="H934">
        <v>3</v>
      </c>
      <c r="I934" s="5">
        <v>273472</v>
      </c>
      <c r="J934" s="5">
        <v>48234</v>
      </c>
      <c r="K934" s="5">
        <v>225238</v>
      </c>
      <c r="L934" s="5">
        <v>149824</v>
      </c>
      <c r="M934" s="5">
        <v>20249</v>
      </c>
      <c r="N934" s="5">
        <v>10663</v>
      </c>
      <c r="O934" s="5">
        <v>30552</v>
      </c>
      <c r="P934" s="5">
        <v>13950</v>
      </c>
      <c r="Q934">
        <v>8</v>
      </c>
      <c r="R934" t="s">
        <v>53</v>
      </c>
    </row>
    <row r="935" spans="1:18">
      <c r="A935" t="s">
        <v>994</v>
      </c>
      <c r="B935" s="4">
        <v>46264</v>
      </c>
      <c r="C935" t="s">
        <v>541</v>
      </c>
      <c r="D935" t="s">
        <v>396</v>
      </c>
      <c r="E935" t="s">
        <v>399</v>
      </c>
      <c r="F935" t="s">
        <v>39</v>
      </c>
      <c r="G935" t="s">
        <v>43</v>
      </c>
      <c r="H935">
        <v>5</v>
      </c>
      <c r="I935" s="5">
        <v>320584</v>
      </c>
      <c r="J935" s="5">
        <v>39277</v>
      </c>
      <c r="K935" s="5">
        <v>281307</v>
      </c>
      <c r="L935" s="5">
        <v>190955</v>
      </c>
      <c r="M935" s="5">
        <v>19631</v>
      </c>
      <c r="N935" s="5">
        <v>0</v>
      </c>
      <c r="O935" s="5">
        <v>50849</v>
      </c>
      <c r="P935" s="5">
        <v>19872</v>
      </c>
      <c r="Q935">
        <v>5</v>
      </c>
      <c r="R935" t="s">
        <v>41</v>
      </c>
    </row>
    <row r="936" spans="1:18">
      <c r="A936" t="s">
        <v>995</v>
      </c>
      <c r="B936" s="4">
        <v>46239</v>
      </c>
      <c r="C936" t="s">
        <v>541</v>
      </c>
      <c r="D936" t="s">
        <v>396</v>
      </c>
      <c r="E936" t="s">
        <v>404</v>
      </c>
      <c r="F936" t="s">
        <v>46</v>
      </c>
      <c r="G936" t="s">
        <v>43</v>
      </c>
      <c r="H936">
        <v>4</v>
      </c>
      <c r="I936" s="5">
        <v>338499</v>
      </c>
      <c r="J936" s="5">
        <v>61635</v>
      </c>
      <c r="K936" s="5">
        <v>276864</v>
      </c>
      <c r="L936" s="5">
        <v>177069</v>
      </c>
      <c r="M936" s="5">
        <v>16876</v>
      </c>
      <c r="N936" s="5">
        <v>0</v>
      </c>
      <c r="O936" s="5">
        <v>59282</v>
      </c>
      <c r="P936" s="5">
        <v>23637</v>
      </c>
      <c r="Q936">
        <v>6</v>
      </c>
      <c r="R936" t="s">
        <v>41</v>
      </c>
    </row>
    <row r="937" spans="1:18">
      <c r="A937" t="s">
        <v>996</v>
      </c>
      <c r="B937" s="4">
        <v>46226</v>
      </c>
      <c r="C937" t="s">
        <v>541</v>
      </c>
      <c r="D937" t="s">
        <v>396</v>
      </c>
      <c r="E937" t="s">
        <v>397</v>
      </c>
      <c r="F937" t="s">
        <v>39</v>
      </c>
      <c r="G937" t="s">
        <v>43</v>
      </c>
      <c r="H937">
        <v>6</v>
      </c>
      <c r="I937" s="5">
        <v>128001</v>
      </c>
      <c r="J937" s="5">
        <v>16770</v>
      </c>
      <c r="K937" s="5">
        <v>111231</v>
      </c>
      <c r="L937" s="5">
        <v>66791</v>
      </c>
      <c r="M937" s="5">
        <v>9280</v>
      </c>
      <c r="N937" s="5">
        <v>0</v>
      </c>
      <c r="O937" s="5">
        <v>20613</v>
      </c>
      <c r="P937" s="5">
        <v>14547</v>
      </c>
      <c r="Q937">
        <v>4</v>
      </c>
      <c r="R937" t="s">
        <v>41</v>
      </c>
    </row>
    <row r="938" spans="1:18">
      <c r="A938" t="s">
        <v>997</v>
      </c>
      <c r="B938" s="4">
        <v>46228</v>
      </c>
      <c r="C938" t="s">
        <v>541</v>
      </c>
      <c r="D938" t="s">
        <v>396</v>
      </c>
      <c r="E938" t="s">
        <v>402</v>
      </c>
      <c r="F938" t="s">
        <v>39</v>
      </c>
      <c r="G938" t="s">
        <v>40</v>
      </c>
      <c r="H938">
        <v>6</v>
      </c>
      <c r="I938" s="5">
        <v>306854</v>
      </c>
      <c r="J938" s="5">
        <v>36560</v>
      </c>
      <c r="K938" s="5">
        <v>270294</v>
      </c>
      <c r="L938" s="5">
        <v>180489</v>
      </c>
      <c r="M938" s="5">
        <v>23324</v>
      </c>
      <c r="N938" s="5">
        <v>0</v>
      </c>
      <c r="O938" s="5">
        <v>41575</v>
      </c>
      <c r="P938" s="5">
        <v>24906</v>
      </c>
      <c r="Q938">
        <v>7</v>
      </c>
      <c r="R938" t="s">
        <v>41</v>
      </c>
    </row>
    <row r="939" spans="1:18">
      <c r="A939" t="s">
        <v>998</v>
      </c>
      <c r="B939" s="4">
        <v>46246</v>
      </c>
      <c r="C939" t="s">
        <v>541</v>
      </c>
      <c r="D939" t="s">
        <v>396</v>
      </c>
      <c r="E939" t="s">
        <v>397</v>
      </c>
      <c r="F939" t="s">
        <v>39</v>
      </c>
      <c r="G939" t="s">
        <v>43</v>
      </c>
      <c r="H939">
        <v>5</v>
      </c>
      <c r="I939" s="5">
        <v>150291</v>
      </c>
      <c r="J939" s="5">
        <v>24512</v>
      </c>
      <c r="K939" s="5">
        <v>125779</v>
      </c>
      <c r="L939" s="5">
        <v>76271</v>
      </c>
      <c r="M939" s="5">
        <v>7257</v>
      </c>
      <c r="N939" s="5">
        <v>0</v>
      </c>
      <c r="O939" s="5">
        <v>23522</v>
      </c>
      <c r="P939" s="5">
        <v>18729</v>
      </c>
      <c r="Q939">
        <v>5</v>
      </c>
      <c r="R939" t="s">
        <v>41</v>
      </c>
    </row>
    <row r="940" spans="1:18">
      <c r="A940" t="s">
        <v>999</v>
      </c>
      <c r="B940" s="4">
        <v>46209</v>
      </c>
      <c r="C940" t="s">
        <v>541</v>
      </c>
      <c r="D940" t="s">
        <v>396</v>
      </c>
      <c r="E940" t="s">
        <v>399</v>
      </c>
      <c r="F940" t="s">
        <v>39</v>
      </c>
      <c r="G940" t="s">
        <v>40</v>
      </c>
      <c r="H940">
        <v>5</v>
      </c>
      <c r="I940" s="5">
        <v>287482</v>
      </c>
      <c r="J940" s="5">
        <v>52359</v>
      </c>
      <c r="K940" s="5">
        <v>235123</v>
      </c>
      <c r="L940" s="5">
        <v>146507</v>
      </c>
      <c r="M940" s="5">
        <v>15229</v>
      </c>
      <c r="N940" s="5">
        <v>0</v>
      </c>
      <c r="O940" s="5">
        <v>52764</v>
      </c>
      <c r="P940" s="5">
        <v>20623</v>
      </c>
      <c r="Q940">
        <v>4</v>
      </c>
      <c r="R940" t="s">
        <v>41</v>
      </c>
    </row>
    <row r="941" spans="1:18">
      <c r="A941" t="s">
        <v>1000</v>
      </c>
      <c r="B941" s="4">
        <v>46266</v>
      </c>
      <c r="C941" t="s">
        <v>541</v>
      </c>
      <c r="D941" t="s">
        <v>396</v>
      </c>
      <c r="E941" t="s">
        <v>404</v>
      </c>
      <c r="F941" t="s">
        <v>46</v>
      </c>
      <c r="G941" t="s">
        <v>40</v>
      </c>
      <c r="H941">
        <v>1</v>
      </c>
      <c r="I941" s="5">
        <v>233390</v>
      </c>
      <c r="J941" s="5">
        <v>39918</v>
      </c>
      <c r="K941" s="5">
        <v>193472</v>
      </c>
      <c r="L941" s="5">
        <v>127964</v>
      </c>
      <c r="M941" s="5">
        <v>16742</v>
      </c>
      <c r="N941" s="5">
        <v>0</v>
      </c>
      <c r="O941" s="5">
        <v>22901</v>
      </c>
      <c r="P941" s="5">
        <v>25865</v>
      </c>
      <c r="Q941">
        <v>2</v>
      </c>
      <c r="R941" t="s">
        <v>41</v>
      </c>
    </row>
    <row r="942" spans="1:18">
      <c r="A942" t="s">
        <v>1001</v>
      </c>
      <c r="B942" s="4">
        <v>46220</v>
      </c>
      <c r="C942" t="s">
        <v>541</v>
      </c>
      <c r="D942" t="s">
        <v>396</v>
      </c>
      <c r="E942" t="s">
        <v>397</v>
      </c>
      <c r="F942" t="s">
        <v>46</v>
      </c>
      <c r="G942" t="s">
        <v>40</v>
      </c>
      <c r="H942">
        <v>1</v>
      </c>
      <c r="I942" s="5">
        <v>284233</v>
      </c>
      <c r="J942" s="5">
        <v>30439</v>
      </c>
      <c r="K942" s="5">
        <v>253794</v>
      </c>
      <c r="L942" s="5">
        <v>180128</v>
      </c>
      <c r="M942" s="5">
        <v>21354</v>
      </c>
      <c r="N942" s="5">
        <v>0</v>
      </c>
      <c r="O942" s="5">
        <v>40562</v>
      </c>
      <c r="P942" s="5">
        <v>11750</v>
      </c>
      <c r="Q942">
        <v>7</v>
      </c>
      <c r="R942" t="s">
        <v>41</v>
      </c>
    </row>
    <row r="943" spans="1:18">
      <c r="A943" t="s">
        <v>1002</v>
      </c>
      <c r="B943" s="4">
        <v>46228</v>
      </c>
      <c r="C943" t="s">
        <v>541</v>
      </c>
      <c r="D943" t="s">
        <v>396</v>
      </c>
      <c r="E943" t="s">
        <v>397</v>
      </c>
      <c r="F943" t="s">
        <v>39</v>
      </c>
      <c r="G943" t="s">
        <v>43</v>
      </c>
      <c r="H943">
        <v>6</v>
      </c>
      <c r="I943" s="5">
        <v>224386</v>
      </c>
      <c r="J943" s="5">
        <v>19821</v>
      </c>
      <c r="K943" s="5">
        <v>204565</v>
      </c>
      <c r="L943" s="5">
        <v>137444</v>
      </c>
      <c r="M943" s="5">
        <v>18302</v>
      </c>
      <c r="N943" s="5">
        <v>0</v>
      </c>
      <c r="O943" s="5">
        <v>38308</v>
      </c>
      <c r="P943" s="5">
        <v>10511</v>
      </c>
      <c r="Q943">
        <v>6</v>
      </c>
      <c r="R943" t="s">
        <v>41</v>
      </c>
    </row>
    <row r="944" spans="1:18">
      <c r="A944" t="s">
        <v>1003</v>
      </c>
      <c r="B944" s="4">
        <v>46257</v>
      </c>
      <c r="C944" t="s">
        <v>541</v>
      </c>
      <c r="D944" t="s">
        <v>396</v>
      </c>
      <c r="E944" t="s">
        <v>397</v>
      </c>
      <c r="F944" t="s">
        <v>61</v>
      </c>
      <c r="G944" t="s">
        <v>40</v>
      </c>
      <c r="H944">
        <v>5</v>
      </c>
      <c r="I944" s="5">
        <v>332157</v>
      </c>
      <c r="J944" s="5">
        <v>63051</v>
      </c>
      <c r="K944" s="5">
        <v>269106</v>
      </c>
      <c r="L944" s="5">
        <v>178675</v>
      </c>
      <c r="M944" s="5">
        <v>17903</v>
      </c>
      <c r="N944" s="5">
        <v>13569</v>
      </c>
      <c r="O944" s="5">
        <v>29688</v>
      </c>
      <c r="P944" s="5">
        <v>29271</v>
      </c>
      <c r="Q944">
        <v>10</v>
      </c>
      <c r="R944" t="s">
        <v>53</v>
      </c>
    </row>
    <row r="945" spans="1:18">
      <c r="A945" t="s">
        <v>1004</v>
      </c>
      <c r="B945" s="4">
        <v>46292</v>
      </c>
      <c r="C945" t="s">
        <v>541</v>
      </c>
      <c r="D945" t="s">
        <v>396</v>
      </c>
      <c r="E945" t="s">
        <v>402</v>
      </c>
      <c r="F945" t="s">
        <v>51</v>
      </c>
      <c r="G945" t="s">
        <v>40</v>
      </c>
      <c r="H945">
        <v>3</v>
      </c>
      <c r="I945" s="5">
        <v>139291</v>
      </c>
      <c r="J945" s="5">
        <v>21806</v>
      </c>
      <c r="K945" s="5">
        <v>117485</v>
      </c>
      <c r="L945" s="5">
        <v>73400</v>
      </c>
      <c r="M945" s="5">
        <v>6519</v>
      </c>
      <c r="N945" s="5">
        <v>0</v>
      </c>
      <c r="O945" s="5">
        <v>25612</v>
      </c>
      <c r="P945" s="5">
        <v>11954</v>
      </c>
      <c r="Q945">
        <v>6</v>
      </c>
      <c r="R945" t="s">
        <v>41</v>
      </c>
    </row>
    <row r="946" spans="1:18">
      <c r="A946" t="s">
        <v>1005</v>
      </c>
      <c r="B946" s="4">
        <v>46276</v>
      </c>
      <c r="C946" t="s">
        <v>541</v>
      </c>
      <c r="D946" t="s">
        <v>396</v>
      </c>
      <c r="E946" t="s">
        <v>402</v>
      </c>
      <c r="F946" t="s">
        <v>61</v>
      </c>
      <c r="G946" t="s">
        <v>40</v>
      </c>
      <c r="H946">
        <v>1</v>
      </c>
      <c r="I946" s="5">
        <v>178950</v>
      </c>
      <c r="J946" s="5">
        <v>24187</v>
      </c>
      <c r="K946" s="5">
        <v>154763</v>
      </c>
      <c r="L946" s="5">
        <v>102395</v>
      </c>
      <c r="M946" s="5">
        <v>11918</v>
      </c>
      <c r="N946" s="5">
        <v>0</v>
      </c>
      <c r="O946" s="5">
        <v>29758</v>
      </c>
      <c r="P946" s="5">
        <v>10692</v>
      </c>
      <c r="Q946">
        <v>7</v>
      </c>
      <c r="R946" t="s">
        <v>41</v>
      </c>
    </row>
    <row r="947" spans="1:18">
      <c r="A947" t="s">
        <v>1006</v>
      </c>
      <c r="B947" s="4">
        <v>46205</v>
      </c>
      <c r="C947" t="s">
        <v>541</v>
      </c>
      <c r="D947" t="s">
        <v>396</v>
      </c>
      <c r="E947" t="s">
        <v>404</v>
      </c>
      <c r="F947" t="s">
        <v>39</v>
      </c>
      <c r="G947" t="s">
        <v>43</v>
      </c>
      <c r="H947">
        <v>1</v>
      </c>
      <c r="I947" s="5">
        <v>349746</v>
      </c>
      <c r="J947" s="5">
        <v>51106</v>
      </c>
      <c r="K947" s="5">
        <v>298640</v>
      </c>
      <c r="L947" s="5">
        <v>202507</v>
      </c>
      <c r="M947" s="5">
        <v>24311</v>
      </c>
      <c r="N947" s="5">
        <v>10509</v>
      </c>
      <c r="O947" s="5">
        <v>48469</v>
      </c>
      <c r="P947" s="5">
        <v>12844</v>
      </c>
      <c r="Q947">
        <v>6</v>
      </c>
      <c r="R947" t="s">
        <v>53</v>
      </c>
    </row>
    <row r="948" spans="1:18">
      <c r="A948" t="s">
        <v>1007</v>
      </c>
      <c r="B948" s="4">
        <v>46228</v>
      </c>
      <c r="C948" t="s">
        <v>541</v>
      </c>
      <c r="D948" t="s">
        <v>396</v>
      </c>
      <c r="E948" t="s">
        <v>404</v>
      </c>
      <c r="F948" t="s">
        <v>39</v>
      </c>
      <c r="G948" t="s">
        <v>40</v>
      </c>
      <c r="H948">
        <v>4</v>
      </c>
      <c r="I948" s="5">
        <v>152498</v>
      </c>
      <c r="J948" s="5">
        <v>30514</v>
      </c>
      <c r="K948" s="5">
        <v>121984</v>
      </c>
      <c r="L948" s="5">
        <v>79159</v>
      </c>
      <c r="M948" s="5">
        <v>9757</v>
      </c>
      <c r="N948" s="5">
        <v>0</v>
      </c>
      <c r="O948" s="5">
        <v>22938</v>
      </c>
      <c r="P948" s="5">
        <v>10130</v>
      </c>
      <c r="Q948">
        <v>3</v>
      </c>
      <c r="R948" t="s">
        <v>41</v>
      </c>
    </row>
    <row r="949" spans="1:18">
      <c r="A949" t="s">
        <v>1008</v>
      </c>
      <c r="B949" s="4">
        <v>46228</v>
      </c>
      <c r="C949" t="s">
        <v>541</v>
      </c>
      <c r="D949" t="s">
        <v>396</v>
      </c>
      <c r="E949" t="s">
        <v>399</v>
      </c>
      <c r="F949" t="s">
        <v>51</v>
      </c>
      <c r="G949" t="s">
        <v>40</v>
      </c>
      <c r="H949">
        <v>3</v>
      </c>
      <c r="I949" s="5">
        <v>253932</v>
      </c>
      <c r="J949" s="5">
        <v>34029</v>
      </c>
      <c r="K949" s="5">
        <v>219903</v>
      </c>
      <c r="L949" s="5">
        <v>134614</v>
      </c>
      <c r="M949" s="5">
        <v>14114</v>
      </c>
      <c r="N949" s="5">
        <v>0</v>
      </c>
      <c r="O949" s="5">
        <v>45623</v>
      </c>
      <c r="P949" s="5">
        <v>25552</v>
      </c>
      <c r="Q949">
        <v>4</v>
      </c>
      <c r="R949" t="s">
        <v>41</v>
      </c>
    </row>
    <row r="950" spans="1:18">
      <c r="A950" t="s">
        <v>1009</v>
      </c>
      <c r="B950" s="4">
        <v>46286</v>
      </c>
      <c r="C950" t="s">
        <v>541</v>
      </c>
      <c r="D950" t="s">
        <v>396</v>
      </c>
      <c r="E950" t="s">
        <v>402</v>
      </c>
      <c r="F950" t="s">
        <v>51</v>
      </c>
      <c r="G950" t="s">
        <v>40</v>
      </c>
      <c r="H950">
        <v>5</v>
      </c>
      <c r="I950" s="5">
        <v>308089</v>
      </c>
      <c r="J950" s="5">
        <v>42451</v>
      </c>
      <c r="K950" s="5">
        <v>265638</v>
      </c>
      <c r="L950" s="5">
        <v>168099</v>
      </c>
      <c r="M950" s="5">
        <v>18122</v>
      </c>
      <c r="N950" s="5">
        <v>0</v>
      </c>
      <c r="O950" s="5">
        <v>57997</v>
      </c>
      <c r="P950" s="5">
        <v>21420</v>
      </c>
      <c r="Q950">
        <v>7</v>
      </c>
      <c r="R950" t="s">
        <v>41</v>
      </c>
    </row>
    <row r="951" spans="1:18">
      <c r="A951" t="s">
        <v>1010</v>
      </c>
      <c r="B951" s="4">
        <v>46291</v>
      </c>
      <c r="C951" t="s">
        <v>541</v>
      </c>
      <c r="D951" t="s">
        <v>396</v>
      </c>
      <c r="E951" t="s">
        <v>399</v>
      </c>
      <c r="F951" t="s">
        <v>51</v>
      </c>
      <c r="G951" t="s">
        <v>43</v>
      </c>
      <c r="H951">
        <v>6</v>
      </c>
      <c r="I951" s="5">
        <v>239817</v>
      </c>
      <c r="J951" s="5">
        <v>25721</v>
      </c>
      <c r="K951" s="5">
        <v>214096</v>
      </c>
      <c r="L951" s="5">
        <v>130521</v>
      </c>
      <c r="M951" s="5">
        <v>16449</v>
      </c>
      <c r="N951" s="5">
        <v>0</v>
      </c>
      <c r="O951" s="5">
        <v>39767</v>
      </c>
      <c r="P951" s="5">
        <v>27359</v>
      </c>
      <c r="Q951">
        <v>7</v>
      </c>
      <c r="R951" t="s">
        <v>41</v>
      </c>
    </row>
    <row r="952" spans="1:18">
      <c r="A952" t="s">
        <v>1011</v>
      </c>
      <c r="B952" s="4">
        <v>46230</v>
      </c>
      <c r="C952" t="s">
        <v>541</v>
      </c>
      <c r="D952" t="s">
        <v>396</v>
      </c>
      <c r="E952" t="s">
        <v>399</v>
      </c>
      <c r="F952" t="s">
        <v>51</v>
      </c>
      <c r="G952" t="s">
        <v>43</v>
      </c>
      <c r="H952">
        <v>3</v>
      </c>
      <c r="I952" s="5">
        <v>293000</v>
      </c>
      <c r="J952" s="5">
        <v>53755</v>
      </c>
      <c r="K952" s="5">
        <v>239245</v>
      </c>
      <c r="L952" s="5">
        <v>166097</v>
      </c>
      <c r="M952" s="5">
        <v>15735</v>
      </c>
      <c r="N952" s="5">
        <v>0</v>
      </c>
      <c r="O952" s="5">
        <v>40556</v>
      </c>
      <c r="P952" s="5">
        <v>16857</v>
      </c>
      <c r="Q952">
        <v>5</v>
      </c>
      <c r="R952" t="s">
        <v>41</v>
      </c>
    </row>
    <row r="953" spans="1:18">
      <c r="A953" t="s">
        <v>1012</v>
      </c>
      <c r="B953" s="4">
        <v>46251</v>
      </c>
      <c r="C953" t="s">
        <v>541</v>
      </c>
      <c r="D953" t="s">
        <v>396</v>
      </c>
      <c r="E953" t="s">
        <v>402</v>
      </c>
      <c r="F953" t="s">
        <v>49</v>
      </c>
      <c r="G953" t="s">
        <v>40</v>
      </c>
      <c r="H953">
        <v>3</v>
      </c>
      <c r="I953" s="5">
        <v>325206</v>
      </c>
      <c r="J953" s="5">
        <v>51053</v>
      </c>
      <c r="K953" s="5">
        <v>274153</v>
      </c>
      <c r="L953" s="5">
        <v>185142</v>
      </c>
      <c r="M953" s="5">
        <v>16894</v>
      </c>
      <c r="N953" s="5">
        <v>13392</v>
      </c>
      <c r="O953" s="5">
        <v>35018</v>
      </c>
      <c r="P953" s="5">
        <v>23707</v>
      </c>
      <c r="Q953">
        <v>6</v>
      </c>
      <c r="R953" t="s">
        <v>53</v>
      </c>
    </row>
    <row r="954" spans="1:18">
      <c r="A954" t="s">
        <v>1013</v>
      </c>
      <c r="B954" s="4">
        <v>46246</v>
      </c>
      <c r="C954" t="s">
        <v>541</v>
      </c>
      <c r="D954" t="s">
        <v>396</v>
      </c>
      <c r="E954" t="s">
        <v>399</v>
      </c>
      <c r="F954" t="s">
        <v>61</v>
      </c>
      <c r="G954" t="s">
        <v>40</v>
      </c>
      <c r="H954">
        <v>3</v>
      </c>
      <c r="I954" s="5">
        <v>142738</v>
      </c>
      <c r="J954" s="5">
        <v>17862</v>
      </c>
      <c r="K954" s="5">
        <v>124876</v>
      </c>
      <c r="L954" s="5">
        <v>75748</v>
      </c>
      <c r="M954" s="5">
        <v>6025</v>
      </c>
      <c r="N954" s="5">
        <v>0</v>
      </c>
      <c r="O954" s="5">
        <v>18128</v>
      </c>
      <c r="P954" s="5">
        <v>24975</v>
      </c>
      <c r="Q954">
        <v>3</v>
      </c>
      <c r="R954" t="s">
        <v>41</v>
      </c>
    </row>
    <row r="955" spans="1:18">
      <c r="A955" t="s">
        <v>1014</v>
      </c>
      <c r="B955" s="4">
        <v>46262</v>
      </c>
      <c r="C955" t="s">
        <v>541</v>
      </c>
      <c r="D955" t="s">
        <v>396</v>
      </c>
      <c r="E955" t="s">
        <v>402</v>
      </c>
      <c r="F955" t="s">
        <v>46</v>
      </c>
      <c r="G955" t="s">
        <v>43</v>
      </c>
      <c r="H955">
        <v>2</v>
      </c>
      <c r="I955" s="5">
        <v>249486</v>
      </c>
      <c r="J955" s="5">
        <v>31537</v>
      </c>
      <c r="K955" s="5">
        <v>217949</v>
      </c>
      <c r="L955" s="5">
        <v>134697</v>
      </c>
      <c r="M955" s="5">
        <v>11767</v>
      </c>
      <c r="N955" s="5">
        <v>0</v>
      </c>
      <c r="O955" s="5">
        <v>46857</v>
      </c>
      <c r="P955" s="5">
        <v>24628</v>
      </c>
      <c r="Q955">
        <v>7</v>
      </c>
      <c r="R955" t="s">
        <v>41</v>
      </c>
    </row>
    <row r="956" spans="1:18">
      <c r="A956" t="s">
        <v>1015</v>
      </c>
      <c r="B956" s="4">
        <v>46233</v>
      </c>
      <c r="C956" t="s">
        <v>541</v>
      </c>
      <c r="D956" t="s">
        <v>396</v>
      </c>
      <c r="E956" t="s">
        <v>397</v>
      </c>
      <c r="F956" t="s">
        <v>46</v>
      </c>
      <c r="G956" t="s">
        <v>43</v>
      </c>
      <c r="H956">
        <v>3</v>
      </c>
      <c r="I956" s="5">
        <v>236036</v>
      </c>
      <c r="J956" s="5">
        <v>32916</v>
      </c>
      <c r="K956" s="5">
        <v>203120</v>
      </c>
      <c r="L956" s="5">
        <v>129653</v>
      </c>
      <c r="M956" s="5">
        <v>15903</v>
      </c>
      <c r="N956" s="5">
        <v>0</v>
      </c>
      <c r="O956" s="5">
        <v>36949</v>
      </c>
      <c r="P956" s="5">
        <v>20615</v>
      </c>
      <c r="Q956">
        <v>7</v>
      </c>
      <c r="R956" t="s">
        <v>41</v>
      </c>
    </row>
    <row r="957" spans="1:18">
      <c r="A957" t="s">
        <v>1016</v>
      </c>
      <c r="B957" s="4">
        <v>46280</v>
      </c>
      <c r="C957" t="s">
        <v>541</v>
      </c>
      <c r="D957" t="s">
        <v>396</v>
      </c>
      <c r="E957" t="s">
        <v>404</v>
      </c>
      <c r="F957" t="s">
        <v>49</v>
      </c>
      <c r="G957" t="s">
        <v>40</v>
      </c>
      <c r="H957">
        <v>2</v>
      </c>
      <c r="I957" s="5">
        <v>296037</v>
      </c>
      <c r="J957" s="5">
        <v>51496</v>
      </c>
      <c r="K957" s="5">
        <v>244541</v>
      </c>
      <c r="L957" s="5">
        <v>157470</v>
      </c>
      <c r="M957" s="5">
        <v>18568</v>
      </c>
      <c r="N957" s="5">
        <v>0</v>
      </c>
      <c r="O957" s="5">
        <v>54665</v>
      </c>
      <c r="P957" s="5">
        <v>13838</v>
      </c>
      <c r="Q957">
        <v>5</v>
      </c>
      <c r="R957" t="s">
        <v>41</v>
      </c>
    </row>
    <row r="958" spans="1:18">
      <c r="A958" t="s">
        <v>1017</v>
      </c>
      <c r="B958" s="4">
        <v>46222</v>
      </c>
      <c r="C958" t="s">
        <v>541</v>
      </c>
      <c r="D958" t="s">
        <v>396</v>
      </c>
      <c r="E958" t="s">
        <v>399</v>
      </c>
      <c r="F958" t="s">
        <v>46</v>
      </c>
      <c r="G958" t="s">
        <v>43</v>
      </c>
      <c r="H958">
        <v>2</v>
      </c>
      <c r="I958" s="5">
        <v>270704</v>
      </c>
      <c r="J958" s="5">
        <v>29253</v>
      </c>
      <c r="K958" s="5">
        <v>241451</v>
      </c>
      <c r="L958" s="5">
        <v>155641</v>
      </c>
      <c r="M958" s="5">
        <v>14457</v>
      </c>
      <c r="N958" s="5">
        <v>0</v>
      </c>
      <c r="O958" s="5">
        <v>57168</v>
      </c>
      <c r="P958" s="5">
        <v>14185</v>
      </c>
      <c r="Q958">
        <v>3</v>
      </c>
      <c r="R958" t="s">
        <v>41</v>
      </c>
    </row>
    <row r="959" spans="1:18">
      <c r="A959" t="s">
        <v>1018</v>
      </c>
      <c r="B959" s="4">
        <v>46227</v>
      </c>
      <c r="C959" t="s">
        <v>541</v>
      </c>
      <c r="D959" t="s">
        <v>396</v>
      </c>
      <c r="E959" t="s">
        <v>404</v>
      </c>
      <c r="F959" t="s">
        <v>51</v>
      </c>
      <c r="G959" t="s">
        <v>43</v>
      </c>
      <c r="H959">
        <v>1</v>
      </c>
      <c r="I959" s="5">
        <v>224473</v>
      </c>
      <c r="J959" s="5">
        <v>20259</v>
      </c>
      <c r="K959" s="5">
        <v>204214</v>
      </c>
      <c r="L959" s="5">
        <v>123967</v>
      </c>
      <c r="M959" s="5">
        <v>11878</v>
      </c>
      <c r="N959" s="5">
        <v>0</v>
      </c>
      <c r="O959" s="5">
        <v>41750</v>
      </c>
      <c r="P959" s="5">
        <v>26619</v>
      </c>
      <c r="Q959">
        <v>6</v>
      </c>
      <c r="R959" t="s">
        <v>41</v>
      </c>
    </row>
    <row r="960" spans="1:18">
      <c r="A960" t="s">
        <v>1019</v>
      </c>
      <c r="B960" s="4">
        <v>46216</v>
      </c>
      <c r="C960" t="s">
        <v>541</v>
      </c>
      <c r="D960" t="s">
        <v>396</v>
      </c>
      <c r="E960" t="s">
        <v>402</v>
      </c>
      <c r="F960" t="s">
        <v>49</v>
      </c>
      <c r="G960" t="s">
        <v>43</v>
      </c>
      <c r="H960">
        <v>6</v>
      </c>
      <c r="I960" s="5">
        <v>247214</v>
      </c>
      <c r="J960" s="5">
        <v>33800</v>
      </c>
      <c r="K960" s="5">
        <v>213414</v>
      </c>
      <c r="L960" s="5">
        <v>141138</v>
      </c>
      <c r="M960" s="5">
        <v>17599</v>
      </c>
      <c r="N960" s="5">
        <v>7032</v>
      </c>
      <c r="O960" s="5">
        <v>27577</v>
      </c>
      <c r="P960" s="5">
        <v>20068</v>
      </c>
      <c r="Q960">
        <v>4</v>
      </c>
      <c r="R960" t="s">
        <v>53</v>
      </c>
    </row>
    <row r="961" spans="1:18">
      <c r="A961" t="s">
        <v>1020</v>
      </c>
      <c r="B961" s="4">
        <v>46216</v>
      </c>
      <c r="C961" t="s">
        <v>541</v>
      </c>
      <c r="D961" t="s">
        <v>396</v>
      </c>
      <c r="E961" t="s">
        <v>402</v>
      </c>
      <c r="F961" t="s">
        <v>51</v>
      </c>
      <c r="G961" t="s">
        <v>43</v>
      </c>
      <c r="H961">
        <v>2</v>
      </c>
      <c r="I961" s="5">
        <v>346566</v>
      </c>
      <c r="J961" s="5">
        <v>51722</v>
      </c>
      <c r="K961" s="5">
        <v>294844</v>
      </c>
      <c r="L961" s="5">
        <v>198219</v>
      </c>
      <c r="M961" s="5">
        <v>21808</v>
      </c>
      <c r="N961" s="5">
        <v>0</v>
      </c>
      <c r="O961" s="5">
        <v>57644</v>
      </c>
      <c r="P961" s="5">
        <v>17173</v>
      </c>
      <c r="Q961">
        <v>7</v>
      </c>
      <c r="R961" t="s">
        <v>41</v>
      </c>
    </row>
    <row r="962" spans="1:18">
      <c r="A962" t="s">
        <v>1021</v>
      </c>
      <c r="B962" s="4">
        <v>46280</v>
      </c>
      <c r="C962" t="s">
        <v>541</v>
      </c>
      <c r="D962" t="s">
        <v>396</v>
      </c>
      <c r="E962" t="s">
        <v>402</v>
      </c>
      <c r="F962" t="s">
        <v>49</v>
      </c>
      <c r="G962" t="s">
        <v>40</v>
      </c>
      <c r="H962">
        <v>3</v>
      </c>
      <c r="I962" s="5">
        <v>144469</v>
      </c>
      <c r="J962" s="5">
        <v>16586</v>
      </c>
      <c r="K962" s="5">
        <v>127883</v>
      </c>
      <c r="L962" s="5">
        <v>72176</v>
      </c>
      <c r="M962" s="5">
        <v>8899</v>
      </c>
      <c r="N962" s="5">
        <v>0</v>
      </c>
      <c r="O962" s="5">
        <v>21232</v>
      </c>
      <c r="P962" s="5">
        <v>25576</v>
      </c>
      <c r="Q962">
        <v>6</v>
      </c>
      <c r="R962" t="s">
        <v>41</v>
      </c>
    </row>
    <row r="963" spans="1:18">
      <c r="A963" t="s">
        <v>1022</v>
      </c>
      <c r="B963" s="4">
        <v>46234</v>
      </c>
      <c r="C963" t="s">
        <v>541</v>
      </c>
      <c r="D963" t="s">
        <v>396</v>
      </c>
      <c r="E963" t="s">
        <v>399</v>
      </c>
      <c r="F963" t="s">
        <v>39</v>
      </c>
      <c r="G963" t="s">
        <v>43</v>
      </c>
      <c r="H963">
        <v>5</v>
      </c>
      <c r="I963" s="5">
        <v>305594</v>
      </c>
      <c r="J963" s="5">
        <v>25264</v>
      </c>
      <c r="K963" s="5">
        <v>280330</v>
      </c>
      <c r="L963" s="5">
        <v>185534</v>
      </c>
      <c r="M963" s="5">
        <v>17436</v>
      </c>
      <c r="N963" s="5">
        <v>0</v>
      </c>
      <c r="O963" s="5">
        <v>50223</v>
      </c>
      <c r="P963" s="5">
        <v>27137</v>
      </c>
      <c r="Q963">
        <v>6</v>
      </c>
      <c r="R963" t="s">
        <v>41</v>
      </c>
    </row>
    <row r="964" spans="1:18">
      <c r="A964" t="s">
        <v>1023</v>
      </c>
      <c r="B964" s="4">
        <v>46221</v>
      </c>
      <c r="C964" t="s">
        <v>541</v>
      </c>
      <c r="D964" t="s">
        <v>396</v>
      </c>
      <c r="E964" t="s">
        <v>402</v>
      </c>
      <c r="F964" t="s">
        <v>51</v>
      </c>
      <c r="G964" t="s">
        <v>40</v>
      </c>
      <c r="H964">
        <v>2</v>
      </c>
      <c r="I964" s="5">
        <v>273071</v>
      </c>
      <c r="J964" s="5">
        <v>44059</v>
      </c>
      <c r="K964" s="5">
        <v>229012</v>
      </c>
      <c r="L964" s="5">
        <v>151708</v>
      </c>
      <c r="M964" s="5">
        <v>19598</v>
      </c>
      <c r="N964" s="5">
        <v>0</v>
      </c>
      <c r="O964" s="5">
        <v>31608</v>
      </c>
      <c r="P964" s="5">
        <v>26098</v>
      </c>
      <c r="Q964">
        <v>3</v>
      </c>
      <c r="R964" t="s">
        <v>41</v>
      </c>
    </row>
    <row r="965" spans="1:18">
      <c r="A965" t="s">
        <v>1024</v>
      </c>
      <c r="B965" s="4">
        <v>46243</v>
      </c>
      <c r="C965" t="s">
        <v>541</v>
      </c>
      <c r="D965" t="s">
        <v>396</v>
      </c>
      <c r="E965" t="s">
        <v>402</v>
      </c>
      <c r="F965" t="s">
        <v>46</v>
      </c>
      <c r="G965" t="s">
        <v>40</v>
      </c>
      <c r="H965">
        <v>3</v>
      </c>
      <c r="I965" s="5">
        <v>152117</v>
      </c>
      <c r="J965" s="5">
        <v>20543</v>
      </c>
      <c r="K965" s="5">
        <v>131574</v>
      </c>
      <c r="L965" s="5">
        <v>80566</v>
      </c>
      <c r="M965" s="5">
        <v>7576</v>
      </c>
      <c r="N965" s="5">
        <v>0</v>
      </c>
      <c r="O965" s="5">
        <v>24607</v>
      </c>
      <c r="P965" s="5">
        <v>18825</v>
      </c>
      <c r="Q965">
        <v>6</v>
      </c>
      <c r="R965" t="s">
        <v>41</v>
      </c>
    </row>
    <row r="966" spans="1:18">
      <c r="A966" t="s">
        <v>1025</v>
      </c>
      <c r="B966" s="4">
        <v>46263</v>
      </c>
      <c r="C966" t="s">
        <v>541</v>
      </c>
      <c r="D966" t="s">
        <v>396</v>
      </c>
      <c r="E966" t="s">
        <v>397</v>
      </c>
      <c r="F966" t="s">
        <v>39</v>
      </c>
      <c r="G966" t="s">
        <v>40</v>
      </c>
      <c r="H966">
        <v>6</v>
      </c>
      <c r="I966" s="5">
        <v>274938</v>
      </c>
      <c r="J966" s="5">
        <v>48223</v>
      </c>
      <c r="K966" s="5">
        <v>226715</v>
      </c>
      <c r="L966" s="5">
        <v>141826</v>
      </c>
      <c r="M966" s="5">
        <v>17820</v>
      </c>
      <c r="N966" s="5">
        <v>0</v>
      </c>
      <c r="O966" s="5">
        <v>44503</v>
      </c>
      <c r="P966" s="5">
        <v>22566</v>
      </c>
      <c r="Q966">
        <v>5</v>
      </c>
      <c r="R966" t="s">
        <v>41</v>
      </c>
    </row>
    <row r="967" spans="1:18">
      <c r="A967" t="s">
        <v>1026</v>
      </c>
      <c r="B967" s="4">
        <v>46253</v>
      </c>
      <c r="C967" t="s">
        <v>541</v>
      </c>
      <c r="D967" t="s">
        <v>396</v>
      </c>
      <c r="E967" t="s">
        <v>402</v>
      </c>
      <c r="F967" t="s">
        <v>61</v>
      </c>
      <c r="G967" t="s">
        <v>43</v>
      </c>
      <c r="H967">
        <v>6</v>
      </c>
      <c r="I967" s="5">
        <v>299123</v>
      </c>
      <c r="J967" s="5">
        <v>54141</v>
      </c>
      <c r="K967" s="5">
        <v>244982</v>
      </c>
      <c r="L967" s="5">
        <v>148093</v>
      </c>
      <c r="M967" s="5">
        <v>15820</v>
      </c>
      <c r="N967" s="5">
        <v>0</v>
      </c>
      <c r="O967" s="5">
        <v>53520</v>
      </c>
      <c r="P967" s="5">
        <v>27549</v>
      </c>
      <c r="Q967">
        <v>3</v>
      </c>
      <c r="R967" t="s">
        <v>41</v>
      </c>
    </row>
    <row r="968" spans="1:18">
      <c r="A968" t="s">
        <v>1027</v>
      </c>
      <c r="B968" s="4">
        <v>46285</v>
      </c>
      <c r="C968" t="s">
        <v>541</v>
      </c>
      <c r="D968" t="s">
        <v>396</v>
      </c>
      <c r="E968" t="s">
        <v>397</v>
      </c>
      <c r="F968" t="s">
        <v>49</v>
      </c>
      <c r="G968" t="s">
        <v>43</v>
      </c>
      <c r="H968">
        <v>5</v>
      </c>
      <c r="I968" s="5">
        <v>349624</v>
      </c>
      <c r="J968" s="5">
        <v>60959</v>
      </c>
      <c r="K968" s="5">
        <v>288665</v>
      </c>
      <c r="L968" s="5">
        <v>200266</v>
      </c>
      <c r="M968" s="5">
        <v>19271</v>
      </c>
      <c r="N968" s="5">
        <v>0</v>
      </c>
      <c r="O968" s="5">
        <v>47691</v>
      </c>
      <c r="P968" s="5">
        <v>21437</v>
      </c>
      <c r="Q968">
        <v>5</v>
      </c>
      <c r="R968" t="s">
        <v>41</v>
      </c>
    </row>
    <row r="969" spans="1:18">
      <c r="A969" t="s">
        <v>1028</v>
      </c>
      <c r="B969" s="4">
        <v>46226</v>
      </c>
      <c r="C969" t="s">
        <v>541</v>
      </c>
      <c r="D969" t="s">
        <v>396</v>
      </c>
      <c r="E969" t="s">
        <v>402</v>
      </c>
      <c r="F969" t="s">
        <v>49</v>
      </c>
      <c r="G969" t="s">
        <v>43</v>
      </c>
      <c r="H969">
        <v>6</v>
      </c>
      <c r="I969" s="5">
        <v>295565</v>
      </c>
      <c r="J969" s="5">
        <v>33207</v>
      </c>
      <c r="K969" s="5">
        <v>262358</v>
      </c>
      <c r="L969" s="5">
        <v>177384</v>
      </c>
      <c r="M969" s="5">
        <v>20332</v>
      </c>
      <c r="N969" s="5">
        <v>0</v>
      </c>
      <c r="O969" s="5">
        <v>52066</v>
      </c>
      <c r="P969" s="5">
        <v>12576</v>
      </c>
      <c r="Q969">
        <v>7</v>
      </c>
      <c r="R969" t="s">
        <v>41</v>
      </c>
    </row>
    <row r="970" spans="1:18">
      <c r="A970" t="s">
        <v>1029</v>
      </c>
      <c r="B970" s="4">
        <v>46269</v>
      </c>
      <c r="C970" t="s">
        <v>541</v>
      </c>
      <c r="D970" t="s">
        <v>396</v>
      </c>
      <c r="E970" t="s">
        <v>402</v>
      </c>
      <c r="F970" t="s">
        <v>46</v>
      </c>
      <c r="G970" t="s">
        <v>40</v>
      </c>
      <c r="H970">
        <v>4</v>
      </c>
      <c r="I970" s="5">
        <v>263665</v>
      </c>
      <c r="J970" s="5">
        <v>37869</v>
      </c>
      <c r="K970" s="5">
        <v>225796</v>
      </c>
      <c r="L970" s="5">
        <v>157200</v>
      </c>
      <c r="M970" s="5">
        <v>18137</v>
      </c>
      <c r="N970" s="5">
        <v>0</v>
      </c>
      <c r="O970" s="5">
        <v>30063</v>
      </c>
      <c r="P970" s="5">
        <v>20396</v>
      </c>
      <c r="Q970">
        <v>5</v>
      </c>
      <c r="R970" t="s">
        <v>41</v>
      </c>
    </row>
    <row r="971" spans="1:18">
      <c r="A971" t="s">
        <v>1030</v>
      </c>
      <c r="B971" s="4">
        <v>46291</v>
      </c>
      <c r="C971" t="s">
        <v>541</v>
      </c>
      <c r="D971" t="s">
        <v>396</v>
      </c>
      <c r="E971" t="s">
        <v>399</v>
      </c>
      <c r="F971" t="s">
        <v>39</v>
      </c>
      <c r="G971" t="s">
        <v>43</v>
      </c>
      <c r="H971">
        <v>3</v>
      </c>
      <c r="I971" s="5">
        <v>163056</v>
      </c>
      <c r="J971" s="5">
        <v>22253</v>
      </c>
      <c r="K971" s="5">
        <v>140803</v>
      </c>
      <c r="L971" s="5">
        <v>93226</v>
      </c>
      <c r="M971" s="5">
        <v>9615</v>
      </c>
      <c r="N971" s="5">
        <v>0</v>
      </c>
      <c r="O971" s="5">
        <v>25913</v>
      </c>
      <c r="P971" s="5">
        <v>12049</v>
      </c>
      <c r="Q971">
        <v>6</v>
      </c>
      <c r="R971" t="s">
        <v>41</v>
      </c>
    </row>
    <row r="972" spans="1:18">
      <c r="A972" t="s">
        <v>1031</v>
      </c>
      <c r="B972" s="4">
        <v>46257</v>
      </c>
      <c r="C972" t="s">
        <v>541</v>
      </c>
      <c r="D972" t="s">
        <v>396</v>
      </c>
      <c r="E972" t="s">
        <v>397</v>
      </c>
      <c r="F972" t="s">
        <v>46</v>
      </c>
      <c r="G972" t="s">
        <v>43</v>
      </c>
      <c r="H972">
        <v>3</v>
      </c>
      <c r="I972" s="5">
        <v>128467</v>
      </c>
      <c r="J972" s="5">
        <v>14502</v>
      </c>
      <c r="K972" s="5">
        <v>113965</v>
      </c>
      <c r="L972" s="5">
        <v>64078</v>
      </c>
      <c r="M972" s="5">
        <v>6640</v>
      </c>
      <c r="N972" s="5">
        <v>0</v>
      </c>
      <c r="O972" s="5">
        <v>23222</v>
      </c>
      <c r="P972" s="5">
        <v>20025</v>
      </c>
      <c r="Q972">
        <v>3</v>
      </c>
      <c r="R972" t="s">
        <v>41</v>
      </c>
    </row>
    <row r="973" spans="1:18">
      <c r="A973" t="s">
        <v>1032</v>
      </c>
      <c r="B973" s="4">
        <v>46235</v>
      </c>
      <c r="C973" t="s">
        <v>541</v>
      </c>
      <c r="D973" t="s">
        <v>396</v>
      </c>
      <c r="E973" t="s">
        <v>404</v>
      </c>
      <c r="F973" t="s">
        <v>61</v>
      </c>
      <c r="G973" t="s">
        <v>40</v>
      </c>
      <c r="H973">
        <v>2</v>
      </c>
      <c r="I973" s="5">
        <v>147286</v>
      </c>
      <c r="J973" s="5">
        <v>16064</v>
      </c>
      <c r="K973" s="5">
        <v>131222</v>
      </c>
      <c r="L973" s="5">
        <v>85575</v>
      </c>
      <c r="M973" s="5">
        <v>7385</v>
      </c>
      <c r="N973" s="5">
        <v>0</v>
      </c>
      <c r="O973" s="5">
        <v>27204</v>
      </c>
      <c r="P973" s="5">
        <v>11058</v>
      </c>
      <c r="Q973">
        <v>4</v>
      </c>
      <c r="R973" t="s">
        <v>41</v>
      </c>
    </row>
    <row r="974" spans="1:18">
      <c r="A974" t="s">
        <v>1033</v>
      </c>
      <c r="B974" s="4">
        <v>46292</v>
      </c>
      <c r="C974" t="s">
        <v>541</v>
      </c>
      <c r="D974" t="s">
        <v>396</v>
      </c>
      <c r="E974" t="s">
        <v>404</v>
      </c>
      <c r="F974" t="s">
        <v>49</v>
      </c>
      <c r="G974" t="s">
        <v>43</v>
      </c>
      <c r="H974">
        <v>1</v>
      </c>
      <c r="I974" s="5">
        <v>319747</v>
      </c>
      <c r="J974" s="5">
        <v>42462</v>
      </c>
      <c r="K974" s="5">
        <v>277285</v>
      </c>
      <c r="L974" s="5">
        <v>184315</v>
      </c>
      <c r="M974" s="5">
        <v>18202</v>
      </c>
      <c r="N974" s="5">
        <v>0</v>
      </c>
      <c r="O974" s="5">
        <v>53905</v>
      </c>
      <c r="P974" s="5">
        <v>20863</v>
      </c>
      <c r="Q974">
        <v>3</v>
      </c>
      <c r="R974" t="s">
        <v>41</v>
      </c>
    </row>
    <row r="975" spans="1:18">
      <c r="A975" t="s">
        <v>1034</v>
      </c>
      <c r="B975" s="4">
        <v>46216</v>
      </c>
      <c r="C975" t="s">
        <v>541</v>
      </c>
      <c r="D975" t="s">
        <v>396</v>
      </c>
      <c r="E975" t="s">
        <v>402</v>
      </c>
      <c r="F975" t="s">
        <v>49</v>
      </c>
      <c r="G975" t="s">
        <v>40</v>
      </c>
      <c r="H975">
        <v>3</v>
      </c>
      <c r="I975" s="5">
        <v>246894</v>
      </c>
      <c r="J975" s="5">
        <v>41965</v>
      </c>
      <c r="K975" s="5">
        <v>204929</v>
      </c>
      <c r="L975" s="5">
        <v>134795</v>
      </c>
      <c r="M975" s="5">
        <v>19265</v>
      </c>
      <c r="N975" s="5">
        <v>0</v>
      </c>
      <c r="O975" s="5">
        <v>40392</v>
      </c>
      <c r="P975" s="5">
        <v>10477</v>
      </c>
      <c r="Q975">
        <v>6</v>
      </c>
      <c r="R975" t="s">
        <v>41</v>
      </c>
    </row>
    <row r="976" spans="1:18">
      <c r="A976" t="s">
        <v>1035</v>
      </c>
      <c r="B976" s="4">
        <v>46236</v>
      </c>
      <c r="C976" t="s">
        <v>541</v>
      </c>
      <c r="D976" t="s">
        <v>396</v>
      </c>
      <c r="E976" t="s">
        <v>397</v>
      </c>
      <c r="F976" t="s">
        <v>46</v>
      </c>
      <c r="G976" t="s">
        <v>40</v>
      </c>
      <c r="H976">
        <v>2</v>
      </c>
      <c r="I976" s="5">
        <v>185889</v>
      </c>
      <c r="J976" s="5">
        <v>35741</v>
      </c>
      <c r="K976" s="5">
        <v>150148</v>
      </c>
      <c r="L976" s="5">
        <v>88786</v>
      </c>
      <c r="M976" s="5">
        <v>7529</v>
      </c>
      <c r="N976" s="5">
        <v>0</v>
      </c>
      <c r="O976" s="5">
        <v>27339</v>
      </c>
      <c r="P976" s="5">
        <v>26494</v>
      </c>
      <c r="Q976">
        <v>4</v>
      </c>
      <c r="R976" t="s">
        <v>41</v>
      </c>
    </row>
    <row r="977" spans="1:18">
      <c r="A977" t="s">
        <v>1036</v>
      </c>
      <c r="B977" s="4">
        <v>46292</v>
      </c>
      <c r="C977" t="s">
        <v>541</v>
      </c>
      <c r="D977" t="s">
        <v>396</v>
      </c>
      <c r="E977" t="s">
        <v>397</v>
      </c>
      <c r="F977" t="s">
        <v>39</v>
      </c>
      <c r="G977" t="s">
        <v>43</v>
      </c>
      <c r="H977">
        <v>2</v>
      </c>
      <c r="I977" s="5">
        <v>125997</v>
      </c>
      <c r="J977" s="5">
        <v>4705</v>
      </c>
      <c r="K977" s="5">
        <v>121292</v>
      </c>
      <c r="L977" s="5">
        <v>77551</v>
      </c>
      <c r="M977" s="5">
        <v>8601</v>
      </c>
      <c r="N977" s="5">
        <v>0</v>
      </c>
      <c r="O977" s="5">
        <v>19302</v>
      </c>
      <c r="P977" s="5">
        <v>15838</v>
      </c>
      <c r="Q977">
        <v>3</v>
      </c>
      <c r="R977" t="s">
        <v>41</v>
      </c>
    </row>
    <row r="978" spans="1:18">
      <c r="A978" t="s">
        <v>1037</v>
      </c>
      <c r="B978" s="4">
        <v>46289</v>
      </c>
      <c r="C978" t="s">
        <v>541</v>
      </c>
      <c r="D978" t="s">
        <v>396</v>
      </c>
      <c r="E978" t="s">
        <v>397</v>
      </c>
      <c r="F978" t="s">
        <v>49</v>
      </c>
      <c r="G978" t="s">
        <v>43</v>
      </c>
      <c r="H978">
        <v>2</v>
      </c>
      <c r="I978" s="5">
        <v>122952</v>
      </c>
      <c r="J978" s="5">
        <v>17524</v>
      </c>
      <c r="K978" s="5">
        <v>105428</v>
      </c>
      <c r="L978" s="5">
        <v>63022</v>
      </c>
      <c r="M978" s="5">
        <v>7686</v>
      </c>
      <c r="N978" s="5">
        <v>0</v>
      </c>
      <c r="O978" s="5">
        <v>13635</v>
      </c>
      <c r="P978" s="5">
        <v>21085</v>
      </c>
      <c r="Q978">
        <v>4</v>
      </c>
      <c r="R978" t="s">
        <v>41</v>
      </c>
    </row>
    <row r="979" spans="1:18">
      <c r="A979" t="s">
        <v>1038</v>
      </c>
      <c r="B979" s="4">
        <v>46220</v>
      </c>
      <c r="C979" t="s">
        <v>541</v>
      </c>
      <c r="D979" t="s">
        <v>396</v>
      </c>
      <c r="E979" t="s">
        <v>399</v>
      </c>
      <c r="F979" t="s">
        <v>39</v>
      </c>
      <c r="G979" t="s">
        <v>43</v>
      </c>
      <c r="H979">
        <v>5</v>
      </c>
      <c r="I979" s="5">
        <v>231733</v>
      </c>
      <c r="J979" s="5">
        <v>29621</v>
      </c>
      <c r="K979" s="5">
        <v>202112</v>
      </c>
      <c r="L979" s="5">
        <v>132047</v>
      </c>
      <c r="M979" s="5">
        <v>11193</v>
      </c>
      <c r="N979" s="5">
        <v>0</v>
      </c>
      <c r="O979" s="5">
        <v>41018</v>
      </c>
      <c r="P979" s="5">
        <v>17854</v>
      </c>
      <c r="Q979">
        <v>4</v>
      </c>
      <c r="R979" t="s">
        <v>41</v>
      </c>
    </row>
    <row r="980" spans="1:18">
      <c r="A980" t="s">
        <v>1039</v>
      </c>
      <c r="B980" s="4">
        <v>46232</v>
      </c>
      <c r="C980" t="s">
        <v>541</v>
      </c>
      <c r="D980" t="s">
        <v>396</v>
      </c>
      <c r="E980" t="s">
        <v>397</v>
      </c>
      <c r="F980" t="s">
        <v>49</v>
      </c>
      <c r="G980" t="s">
        <v>43</v>
      </c>
      <c r="H980">
        <v>6</v>
      </c>
      <c r="I980" s="5">
        <v>211175</v>
      </c>
      <c r="J980" s="5">
        <v>32190</v>
      </c>
      <c r="K980" s="5">
        <v>178985</v>
      </c>
      <c r="L980" s="5">
        <v>111426</v>
      </c>
      <c r="M980" s="5">
        <v>11161</v>
      </c>
      <c r="N980" s="5">
        <v>0</v>
      </c>
      <c r="O980" s="5">
        <v>39196</v>
      </c>
      <c r="P980" s="5">
        <v>17202</v>
      </c>
      <c r="Q980">
        <v>3</v>
      </c>
      <c r="R980" t="s">
        <v>41</v>
      </c>
    </row>
    <row r="981" spans="1:18">
      <c r="A981" t="s">
        <v>1040</v>
      </c>
      <c r="B981" s="4">
        <v>46253</v>
      </c>
      <c r="C981" t="s">
        <v>541</v>
      </c>
      <c r="D981" t="s">
        <v>396</v>
      </c>
      <c r="E981" t="s">
        <v>402</v>
      </c>
      <c r="F981" t="s">
        <v>49</v>
      </c>
      <c r="G981" t="s">
        <v>40</v>
      </c>
      <c r="H981">
        <v>3</v>
      </c>
      <c r="I981" s="5">
        <v>327311</v>
      </c>
      <c r="J981" s="5">
        <v>40753</v>
      </c>
      <c r="K981" s="5">
        <v>286558</v>
      </c>
      <c r="L981" s="5">
        <v>189853</v>
      </c>
      <c r="M981" s="5">
        <v>22119</v>
      </c>
      <c r="N981" s="5">
        <v>0</v>
      </c>
      <c r="O981" s="5">
        <v>47068</v>
      </c>
      <c r="P981" s="5">
        <v>27518</v>
      </c>
      <c r="Q981">
        <v>2</v>
      </c>
      <c r="R981" t="s">
        <v>41</v>
      </c>
    </row>
    <row r="982" spans="1:18">
      <c r="A982" t="s">
        <v>1041</v>
      </c>
      <c r="B982" s="4">
        <v>46230</v>
      </c>
      <c r="C982" t="s">
        <v>541</v>
      </c>
      <c r="D982" t="s">
        <v>396</v>
      </c>
      <c r="E982" t="s">
        <v>404</v>
      </c>
      <c r="F982" t="s">
        <v>46</v>
      </c>
      <c r="G982" t="s">
        <v>43</v>
      </c>
      <c r="H982">
        <v>4</v>
      </c>
      <c r="I982" s="5">
        <v>183202</v>
      </c>
      <c r="J982" s="5">
        <v>22461</v>
      </c>
      <c r="K982" s="5">
        <v>160741</v>
      </c>
      <c r="L982" s="5">
        <v>106235</v>
      </c>
      <c r="M982" s="5">
        <v>11579</v>
      </c>
      <c r="N982" s="5">
        <v>0</v>
      </c>
      <c r="O982" s="5">
        <v>29736</v>
      </c>
      <c r="P982" s="5">
        <v>13191</v>
      </c>
      <c r="Q982">
        <v>7</v>
      </c>
      <c r="R982" t="s">
        <v>41</v>
      </c>
    </row>
    <row r="983" spans="1:18">
      <c r="A983" t="s">
        <v>1042</v>
      </c>
      <c r="B983" s="4">
        <v>46248</v>
      </c>
      <c r="C983" t="s">
        <v>541</v>
      </c>
      <c r="D983" t="s">
        <v>396</v>
      </c>
      <c r="E983" t="s">
        <v>397</v>
      </c>
      <c r="F983" t="s">
        <v>51</v>
      </c>
      <c r="G983" t="s">
        <v>43</v>
      </c>
      <c r="H983">
        <v>3</v>
      </c>
      <c r="I983" s="5">
        <v>249289</v>
      </c>
      <c r="J983" s="5">
        <v>51615</v>
      </c>
      <c r="K983" s="5">
        <v>197674</v>
      </c>
      <c r="L983" s="5">
        <v>139513</v>
      </c>
      <c r="M983" s="5">
        <v>15505</v>
      </c>
      <c r="N983" s="5">
        <v>0</v>
      </c>
      <c r="O983" s="5">
        <v>26855</v>
      </c>
      <c r="P983" s="5">
        <v>15801</v>
      </c>
      <c r="Q983">
        <v>6</v>
      </c>
      <c r="R983" t="s">
        <v>41</v>
      </c>
    </row>
    <row r="984" spans="1:18">
      <c r="A984" t="s">
        <v>1043</v>
      </c>
      <c r="B984" s="4">
        <v>46225</v>
      </c>
      <c r="C984" t="s">
        <v>541</v>
      </c>
      <c r="D984" t="s">
        <v>396</v>
      </c>
      <c r="E984" t="s">
        <v>399</v>
      </c>
      <c r="F984" t="s">
        <v>49</v>
      </c>
      <c r="G984" t="s">
        <v>43</v>
      </c>
      <c r="H984">
        <v>4</v>
      </c>
      <c r="I984" s="5">
        <v>158375</v>
      </c>
      <c r="J984" s="5">
        <v>20919</v>
      </c>
      <c r="K984" s="5">
        <v>137456</v>
      </c>
      <c r="L984" s="5">
        <v>86451</v>
      </c>
      <c r="M984" s="5">
        <v>7140</v>
      </c>
      <c r="N984" s="5">
        <v>0</v>
      </c>
      <c r="O984" s="5">
        <v>23124</v>
      </c>
      <c r="P984" s="5">
        <v>20741</v>
      </c>
      <c r="Q984">
        <v>7</v>
      </c>
      <c r="R984" t="s">
        <v>41</v>
      </c>
    </row>
    <row r="985" spans="1:18">
      <c r="A985" t="s">
        <v>1044</v>
      </c>
      <c r="B985" s="4">
        <v>46234</v>
      </c>
      <c r="C985" t="s">
        <v>541</v>
      </c>
      <c r="D985" t="s">
        <v>396</v>
      </c>
      <c r="E985" t="s">
        <v>402</v>
      </c>
      <c r="F985" t="s">
        <v>49</v>
      </c>
      <c r="G985" t="s">
        <v>40</v>
      </c>
      <c r="H985">
        <v>4</v>
      </c>
      <c r="I985" s="5">
        <v>173256</v>
      </c>
      <c r="J985" s="5">
        <v>25575</v>
      </c>
      <c r="K985" s="5">
        <v>147681</v>
      </c>
      <c r="L985" s="5">
        <v>101949</v>
      </c>
      <c r="M985" s="5">
        <v>10925</v>
      </c>
      <c r="N985" s="5">
        <v>0</v>
      </c>
      <c r="O985" s="5">
        <v>19941</v>
      </c>
      <c r="P985" s="5">
        <v>14866</v>
      </c>
      <c r="Q985">
        <v>5</v>
      </c>
      <c r="R985" t="s">
        <v>41</v>
      </c>
    </row>
    <row r="986" spans="1:18">
      <c r="A986" t="s">
        <v>1045</v>
      </c>
      <c r="B986" s="4">
        <v>46277</v>
      </c>
      <c r="C986" t="s">
        <v>541</v>
      </c>
      <c r="D986" t="s">
        <v>396</v>
      </c>
      <c r="E986" t="s">
        <v>399</v>
      </c>
      <c r="F986" t="s">
        <v>51</v>
      </c>
      <c r="G986" t="s">
        <v>40</v>
      </c>
      <c r="H986">
        <v>6</v>
      </c>
      <c r="I986" s="5">
        <v>296537</v>
      </c>
      <c r="J986" s="5">
        <v>25717</v>
      </c>
      <c r="K986" s="5">
        <v>270820</v>
      </c>
      <c r="L986" s="5">
        <v>172466</v>
      </c>
      <c r="M986" s="5">
        <v>17211</v>
      </c>
      <c r="N986" s="5">
        <v>0</v>
      </c>
      <c r="O986" s="5">
        <v>60736</v>
      </c>
      <c r="P986" s="5">
        <v>20407</v>
      </c>
      <c r="Q986">
        <v>3</v>
      </c>
      <c r="R986" t="s">
        <v>41</v>
      </c>
    </row>
    <row r="987" spans="1:18">
      <c r="A987" t="s">
        <v>1046</v>
      </c>
      <c r="B987" s="4">
        <v>46239</v>
      </c>
      <c r="C987" t="s">
        <v>541</v>
      </c>
      <c r="D987" t="s">
        <v>396</v>
      </c>
      <c r="E987" t="s">
        <v>399</v>
      </c>
      <c r="F987" t="s">
        <v>39</v>
      </c>
      <c r="G987" t="s">
        <v>40</v>
      </c>
      <c r="H987">
        <v>6</v>
      </c>
      <c r="I987" s="5">
        <v>187187</v>
      </c>
      <c r="J987" s="5">
        <v>34414</v>
      </c>
      <c r="K987" s="5">
        <v>152773</v>
      </c>
      <c r="L987" s="5">
        <v>92868</v>
      </c>
      <c r="M987" s="5">
        <v>8966</v>
      </c>
      <c r="N987" s="5">
        <v>0</v>
      </c>
      <c r="O987" s="5">
        <v>28658</v>
      </c>
      <c r="P987" s="5">
        <v>22281</v>
      </c>
      <c r="Q987">
        <v>5</v>
      </c>
      <c r="R987" t="s">
        <v>41</v>
      </c>
    </row>
    <row r="988" spans="1:18">
      <c r="A988" t="s">
        <v>1047</v>
      </c>
      <c r="B988" s="4">
        <v>46254</v>
      </c>
      <c r="C988" t="s">
        <v>541</v>
      </c>
      <c r="D988" t="s">
        <v>396</v>
      </c>
      <c r="E988" t="s">
        <v>404</v>
      </c>
      <c r="F988" t="s">
        <v>46</v>
      </c>
      <c r="G988" t="s">
        <v>43</v>
      </c>
      <c r="H988">
        <v>4</v>
      </c>
      <c r="I988" s="5">
        <v>281826</v>
      </c>
      <c r="J988" s="5">
        <v>58221</v>
      </c>
      <c r="K988" s="5">
        <v>223605</v>
      </c>
      <c r="L988" s="5">
        <v>155190</v>
      </c>
      <c r="M988" s="5">
        <v>15074</v>
      </c>
      <c r="N988" s="5">
        <v>0</v>
      </c>
      <c r="O988" s="5">
        <v>37055</v>
      </c>
      <c r="P988" s="5">
        <v>16286</v>
      </c>
      <c r="Q988">
        <v>3</v>
      </c>
      <c r="R988" t="s">
        <v>41</v>
      </c>
    </row>
    <row r="989" spans="1:18">
      <c r="A989" t="s">
        <v>1048</v>
      </c>
      <c r="B989" s="4">
        <v>46204</v>
      </c>
      <c r="C989" t="s">
        <v>541</v>
      </c>
      <c r="D989" t="s">
        <v>396</v>
      </c>
      <c r="E989" t="s">
        <v>399</v>
      </c>
      <c r="F989" t="s">
        <v>46</v>
      </c>
      <c r="G989" t="s">
        <v>40</v>
      </c>
      <c r="H989">
        <v>6</v>
      </c>
      <c r="I989" s="5">
        <v>214940</v>
      </c>
      <c r="J989" s="5">
        <v>26226</v>
      </c>
      <c r="K989" s="5">
        <v>188714</v>
      </c>
      <c r="L989" s="5">
        <v>115422</v>
      </c>
      <c r="M989" s="5">
        <v>15785</v>
      </c>
      <c r="N989" s="5">
        <v>0</v>
      </c>
      <c r="O989" s="5">
        <v>35077</v>
      </c>
      <c r="P989" s="5">
        <v>22430</v>
      </c>
      <c r="Q989">
        <v>9</v>
      </c>
      <c r="R989" t="s">
        <v>41</v>
      </c>
    </row>
    <row r="990" spans="1:18">
      <c r="A990" t="s">
        <v>1049</v>
      </c>
      <c r="B990" s="4">
        <v>46285</v>
      </c>
      <c r="C990" t="s">
        <v>541</v>
      </c>
      <c r="D990" t="s">
        <v>396</v>
      </c>
      <c r="E990" t="s">
        <v>397</v>
      </c>
      <c r="F990" t="s">
        <v>49</v>
      </c>
      <c r="G990" t="s">
        <v>40</v>
      </c>
      <c r="H990">
        <v>2</v>
      </c>
      <c r="I990" s="5">
        <v>279969</v>
      </c>
      <c r="J990" s="5">
        <v>47242</v>
      </c>
      <c r="K990" s="5">
        <v>232727</v>
      </c>
      <c r="L990" s="5">
        <v>156440</v>
      </c>
      <c r="M990" s="5">
        <v>20957</v>
      </c>
      <c r="N990" s="5">
        <v>0</v>
      </c>
      <c r="O990" s="5">
        <v>34358</v>
      </c>
      <c r="P990" s="5">
        <v>20972</v>
      </c>
      <c r="Q990">
        <v>4</v>
      </c>
      <c r="R990" t="s">
        <v>41</v>
      </c>
    </row>
    <row r="991" spans="1:18">
      <c r="A991" t="s">
        <v>1050</v>
      </c>
      <c r="B991" s="4">
        <v>46206</v>
      </c>
      <c r="C991" t="s">
        <v>541</v>
      </c>
      <c r="D991" t="s">
        <v>396</v>
      </c>
      <c r="E991" t="s">
        <v>399</v>
      </c>
      <c r="F991" t="s">
        <v>49</v>
      </c>
      <c r="G991" t="s">
        <v>40</v>
      </c>
      <c r="H991">
        <v>2</v>
      </c>
      <c r="I991" s="5">
        <v>140398</v>
      </c>
      <c r="J991" s="5">
        <v>15169</v>
      </c>
      <c r="K991" s="5">
        <v>125229</v>
      </c>
      <c r="L991" s="5">
        <v>68851</v>
      </c>
      <c r="M991" s="5">
        <v>8297</v>
      </c>
      <c r="N991" s="5">
        <v>0</v>
      </c>
      <c r="O991" s="5">
        <v>23036</v>
      </c>
      <c r="P991" s="5">
        <v>25045</v>
      </c>
      <c r="Q991">
        <v>4</v>
      </c>
      <c r="R991" t="s">
        <v>41</v>
      </c>
    </row>
    <row r="992" spans="1:18">
      <c r="A992" t="s">
        <v>1051</v>
      </c>
      <c r="B992" s="4">
        <v>46287</v>
      </c>
      <c r="C992" t="s">
        <v>541</v>
      </c>
      <c r="D992" t="s">
        <v>396</v>
      </c>
      <c r="E992" t="s">
        <v>402</v>
      </c>
      <c r="F992" t="s">
        <v>49</v>
      </c>
      <c r="G992" t="s">
        <v>40</v>
      </c>
      <c r="H992">
        <v>2</v>
      </c>
      <c r="I992" s="5">
        <v>144957</v>
      </c>
      <c r="J992" s="5">
        <v>15096</v>
      </c>
      <c r="K992" s="5">
        <v>129861</v>
      </c>
      <c r="L992" s="5">
        <v>74428</v>
      </c>
      <c r="M992" s="5">
        <v>8090</v>
      </c>
      <c r="N992" s="5">
        <v>0</v>
      </c>
      <c r="O992" s="5">
        <v>25633</v>
      </c>
      <c r="P992" s="5">
        <v>21710</v>
      </c>
      <c r="Q992">
        <v>5</v>
      </c>
      <c r="R992" t="s">
        <v>41</v>
      </c>
    </row>
    <row r="993" spans="1:18">
      <c r="A993" t="s">
        <v>1052</v>
      </c>
      <c r="B993" s="4">
        <v>46229</v>
      </c>
      <c r="C993" t="s">
        <v>541</v>
      </c>
      <c r="D993" t="s">
        <v>396</v>
      </c>
      <c r="E993" t="s">
        <v>399</v>
      </c>
      <c r="F993" t="s">
        <v>51</v>
      </c>
      <c r="G993" t="s">
        <v>43</v>
      </c>
      <c r="H993">
        <v>1</v>
      </c>
      <c r="I993" s="5">
        <v>114673</v>
      </c>
      <c r="J993" s="5">
        <v>9848</v>
      </c>
      <c r="K993" s="5">
        <v>104825</v>
      </c>
      <c r="L993" s="5">
        <v>58831</v>
      </c>
      <c r="M993" s="5">
        <v>6615</v>
      </c>
      <c r="N993" s="5">
        <v>0</v>
      </c>
      <c r="O993" s="5">
        <v>18414</v>
      </c>
      <c r="P993" s="5">
        <v>20965</v>
      </c>
      <c r="Q993">
        <v>6</v>
      </c>
      <c r="R993" t="s">
        <v>41</v>
      </c>
    </row>
    <row r="994" spans="1:18">
      <c r="A994" t="s">
        <v>1053</v>
      </c>
      <c r="B994" s="4">
        <v>46234</v>
      </c>
      <c r="C994" t="s">
        <v>541</v>
      </c>
      <c r="D994" t="s">
        <v>396</v>
      </c>
      <c r="E994" t="s">
        <v>404</v>
      </c>
      <c r="F994" t="s">
        <v>46</v>
      </c>
      <c r="G994" t="s">
        <v>40</v>
      </c>
      <c r="H994">
        <v>5</v>
      </c>
      <c r="I994" s="5">
        <v>153283</v>
      </c>
      <c r="J994" s="5">
        <v>24339</v>
      </c>
      <c r="K994" s="5">
        <v>128944</v>
      </c>
      <c r="L994" s="5">
        <v>74427</v>
      </c>
      <c r="M994" s="5">
        <v>7200</v>
      </c>
      <c r="N994" s="5">
        <v>0</v>
      </c>
      <c r="O994" s="5">
        <v>21529</v>
      </c>
      <c r="P994" s="5">
        <v>25788</v>
      </c>
      <c r="Q994">
        <v>5</v>
      </c>
      <c r="R994" t="s">
        <v>41</v>
      </c>
    </row>
    <row r="995" spans="1:18">
      <c r="A995" t="s">
        <v>1054</v>
      </c>
      <c r="B995" s="4">
        <v>46212</v>
      </c>
      <c r="C995" t="s">
        <v>541</v>
      </c>
      <c r="D995" t="s">
        <v>396</v>
      </c>
      <c r="E995" t="s">
        <v>397</v>
      </c>
      <c r="F995" t="s">
        <v>61</v>
      </c>
      <c r="G995" t="s">
        <v>43</v>
      </c>
      <c r="H995">
        <v>5</v>
      </c>
      <c r="I995" s="5">
        <v>303969</v>
      </c>
      <c r="J995" s="5">
        <v>53872</v>
      </c>
      <c r="K995" s="5">
        <v>250097</v>
      </c>
      <c r="L995" s="5">
        <v>172908</v>
      </c>
      <c r="M995" s="5">
        <v>15841</v>
      </c>
      <c r="N995" s="5">
        <v>0</v>
      </c>
      <c r="O995" s="5">
        <v>38225</v>
      </c>
      <c r="P995" s="5">
        <v>23123</v>
      </c>
      <c r="Q995">
        <v>2</v>
      </c>
      <c r="R995" t="s">
        <v>41</v>
      </c>
    </row>
    <row r="996" spans="1:18">
      <c r="A996" t="s">
        <v>1055</v>
      </c>
      <c r="B996" s="4">
        <v>46295</v>
      </c>
      <c r="C996" t="s">
        <v>541</v>
      </c>
      <c r="D996" t="s">
        <v>396</v>
      </c>
      <c r="E996" t="s">
        <v>397</v>
      </c>
      <c r="F996" t="s">
        <v>49</v>
      </c>
      <c r="G996" t="s">
        <v>40</v>
      </c>
      <c r="H996">
        <v>4</v>
      </c>
      <c r="I996" s="5">
        <v>188318</v>
      </c>
      <c r="J996" s="5">
        <v>39481</v>
      </c>
      <c r="K996" s="5">
        <v>148837</v>
      </c>
      <c r="L996" s="5">
        <v>94827</v>
      </c>
      <c r="M996" s="5">
        <v>10594</v>
      </c>
      <c r="N996" s="5">
        <v>0</v>
      </c>
      <c r="O996" s="5">
        <v>32744</v>
      </c>
      <c r="P996" s="5">
        <v>10672</v>
      </c>
      <c r="Q996">
        <v>5</v>
      </c>
      <c r="R996" t="s">
        <v>41</v>
      </c>
    </row>
    <row r="997" spans="1:18">
      <c r="A997" t="s">
        <v>1056</v>
      </c>
      <c r="B997" s="4">
        <v>46209</v>
      </c>
      <c r="C997" t="s">
        <v>541</v>
      </c>
      <c r="D997" t="s">
        <v>396</v>
      </c>
      <c r="E997" t="s">
        <v>399</v>
      </c>
      <c r="F997" t="s">
        <v>46</v>
      </c>
      <c r="G997" t="s">
        <v>43</v>
      </c>
      <c r="H997">
        <v>4</v>
      </c>
      <c r="I997" s="5">
        <v>221921</v>
      </c>
      <c r="J997" s="5">
        <v>18661</v>
      </c>
      <c r="K997" s="5">
        <v>203260</v>
      </c>
      <c r="L997" s="5">
        <v>130525</v>
      </c>
      <c r="M997" s="5">
        <v>14031</v>
      </c>
      <c r="N997" s="5">
        <v>0</v>
      </c>
      <c r="O997" s="5">
        <v>40229</v>
      </c>
      <c r="P997" s="5">
        <v>18475</v>
      </c>
      <c r="Q997">
        <v>6</v>
      </c>
      <c r="R997" t="s">
        <v>41</v>
      </c>
    </row>
    <row r="998" spans="1:18">
      <c r="A998" t="s">
        <v>1057</v>
      </c>
      <c r="B998" s="4">
        <v>46218</v>
      </c>
      <c r="C998" t="s">
        <v>541</v>
      </c>
      <c r="D998" t="s">
        <v>396</v>
      </c>
      <c r="E998" t="s">
        <v>404</v>
      </c>
      <c r="F998" t="s">
        <v>39</v>
      </c>
      <c r="G998" t="s">
        <v>43</v>
      </c>
      <c r="H998">
        <v>6</v>
      </c>
      <c r="I998" s="5">
        <v>281551</v>
      </c>
      <c r="J998" s="5">
        <v>40491</v>
      </c>
      <c r="K998" s="5">
        <v>241060</v>
      </c>
      <c r="L998" s="5">
        <v>171676</v>
      </c>
      <c r="M998" s="5">
        <v>20503</v>
      </c>
      <c r="N998" s="5">
        <v>0</v>
      </c>
      <c r="O998" s="5">
        <v>34835</v>
      </c>
      <c r="P998" s="5">
        <v>14046</v>
      </c>
      <c r="Q998">
        <v>5</v>
      </c>
      <c r="R998" t="s">
        <v>41</v>
      </c>
    </row>
    <row r="999" spans="1:18">
      <c r="A999" t="s">
        <v>1058</v>
      </c>
      <c r="B999" s="4">
        <v>46213</v>
      </c>
      <c r="C999" t="s">
        <v>541</v>
      </c>
      <c r="D999" t="s">
        <v>396</v>
      </c>
      <c r="E999" t="s">
        <v>402</v>
      </c>
      <c r="F999" t="s">
        <v>46</v>
      </c>
      <c r="G999" t="s">
        <v>40</v>
      </c>
      <c r="H999">
        <v>3</v>
      </c>
      <c r="I999" s="5">
        <v>156132</v>
      </c>
      <c r="J999" s="5">
        <v>15399</v>
      </c>
      <c r="K999" s="5">
        <v>140733</v>
      </c>
      <c r="L999" s="5">
        <v>84857</v>
      </c>
      <c r="M999" s="5">
        <v>7722</v>
      </c>
      <c r="N999" s="5">
        <v>6286</v>
      </c>
      <c r="O999" s="5">
        <v>14037</v>
      </c>
      <c r="P999" s="5">
        <v>27831</v>
      </c>
      <c r="Q999">
        <v>9</v>
      </c>
      <c r="R999" t="s">
        <v>53</v>
      </c>
    </row>
    <row r="1000" spans="1:18">
      <c r="A1000" t="s">
        <v>1059</v>
      </c>
      <c r="B1000" s="4">
        <v>46239</v>
      </c>
      <c r="C1000" t="s">
        <v>541</v>
      </c>
      <c r="D1000" t="s">
        <v>396</v>
      </c>
      <c r="E1000" t="s">
        <v>397</v>
      </c>
      <c r="F1000" t="s">
        <v>51</v>
      </c>
      <c r="G1000" t="s">
        <v>40</v>
      </c>
      <c r="H1000">
        <v>5</v>
      </c>
      <c r="I1000" s="5">
        <v>221531</v>
      </c>
      <c r="J1000" s="5">
        <v>24510</v>
      </c>
      <c r="K1000" s="5">
        <v>197021</v>
      </c>
      <c r="L1000" s="5">
        <v>131876</v>
      </c>
      <c r="M1000" s="5">
        <v>14495</v>
      </c>
      <c r="N1000" s="5">
        <v>0</v>
      </c>
      <c r="O1000" s="5">
        <v>39434</v>
      </c>
      <c r="P1000" s="5">
        <v>11216</v>
      </c>
      <c r="Q1000">
        <v>8</v>
      </c>
      <c r="R1000" t="s">
        <v>41</v>
      </c>
    </row>
    <row r="1001" spans="1:18">
      <c r="A1001" t="s">
        <v>1060</v>
      </c>
      <c r="B1001" s="4">
        <v>46295</v>
      </c>
      <c r="C1001" t="s">
        <v>541</v>
      </c>
      <c r="D1001" t="s">
        <v>396</v>
      </c>
      <c r="E1001" t="s">
        <v>404</v>
      </c>
      <c r="F1001" t="s">
        <v>49</v>
      </c>
      <c r="G1001" t="s">
        <v>43</v>
      </c>
      <c r="H1001">
        <v>4</v>
      </c>
      <c r="I1001" s="5">
        <v>183202</v>
      </c>
      <c r="J1001" s="5">
        <v>24565</v>
      </c>
      <c r="K1001" s="5">
        <v>158637</v>
      </c>
      <c r="L1001" s="5">
        <v>103095</v>
      </c>
      <c r="M1001" s="5">
        <v>10767</v>
      </c>
      <c r="N1001" s="5">
        <v>0</v>
      </c>
      <c r="O1001" s="5">
        <v>30655</v>
      </c>
      <c r="P1001" s="5">
        <v>14120</v>
      </c>
      <c r="Q1001">
        <v>7</v>
      </c>
      <c r="R1001" t="s">
        <v>41</v>
      </c>
    </row>
    <row r="1002" spans="1:18">
      <c r="A1002" t="s">
        <v>1061</v>
      </c>
      <c r="B1002" s="4">
        <v>46253</v>
      </c>
      <c r="C1002" t="s">
        <v>541</v>
      </c>
      <c r="D1002" t="s">
        <v>396</v>
      </c>
      <c r="E1002" t="s">
        <v>399</v>
      </c>
      <c r="F1002" t="s">
        <v>51</v>
      </c>
      <c r="G1002" t="s">
        <v>40</v>
      </c>
      <c r="H1002">
        <v>2</v>
      </c>
      <c r="I1002" s="5">
        <v>138265</v>
      </c>
      <c r="J1002" s="5">
        <v>17693</v>
      </c>
      <c r="K1002" s="5">
        <v>120572</v>
      </c>
      <c r="L1002" s="5">
        <v>66932</v>
      </c>
      <c r="M1002" s="5">
        <v>8894</v>
      </c>
      <c r="N1002" s="5">
        <v>5237</v>
      </c>
      <c r="O1002" s="5">
        <v>15395</v>
      </c>
      <c r="P1002" s="5">
        <v>24114</v>
      </c>
      <c r="Q1002">
        <v>3</v>
      </c>
      <c r="R1002" t="s">
        <v>53</v>
      </c>
    </row>
    <row r="1003" spans="1:18">
      <c r="A1003" t="s">
        <v>1062</v>
      </c>
      <c r="B1003" s="4">
        <v>46270</v>
      </c>
      <c r="C1003" t="s">
        <v>541</v>
      </c>
      <c r="D1003" t="s">
        <v>396</v>
      </c>
      <c r="E1003" t="s">
        <v>402</v>
      </c>
      <c r="F1003" t="s">
        <v>46</v>
      </c>
      <c r="G1003" t="s">
        <v>40</v>
      </c>
      <c r="H1003">
        <v>3</v>
      </c>
      <c r="I1003" s="5">
        <v>249415</v>
      </c>
      <c r="J1003" s="5">
        <v>30632</v>
      </c>
      <c r="K1003" s="5">
        <v>218783</v>
      </c>
      <c r="L1003" s="5">
        <v>137680</v>
      </c>
      <c r="M1003" s="5">
        <v>15073</v>
      </c>
      <c r="N1003" s="5">
        <v>0</v>
      </c>
      <c r="O1003" s="5">
        <v>49396</v>
      </c>
      <c r="P1003" s="5">
        <v>16634</v>
      </c>
      <c r="Q1003">
        <v>5</v>
      </c>
      <c r="R1003" t="s">
        <v>41</v>
      </c>
    </row>
    <row r="1004" spans="1:18">
      <c r="A1004" t="s">
        <v>1063</v>
      </c>
      <c r="B1004" s="4">
        <v>46266</v>
      </c>
      <c r="C1004" t="s">
        <v>541</v>
      </c>
      <c r="D1004" t="s">
        <v>396</v>
      </c>
      <c r="E1004" t="s">
        <v>404</v>
      </c>
      <c r="F1004" t="s">
        <v>49</v>
      </c>
      <c r="G1004" t="s">
        <v>43</v>
      </c>
      <c r="H1004">
        <v>2</v>
      </c>
      <c r="I1004" s="5">
        <v>196094</v>
      </c>
      <c r="J1004" s="5">
        <v>21806</v>
      </c>
      <c r="K1004" s="5">
        <v>174288</v>
      </c>
      <c r="L1004" s="5">
        <v>108095</v>
      </c>
      <c r="M1004" s="5">
        <v>12065</v>
      </c>
      <c r="N1004" s="5">
        <v>0</v>
      </c>
      <c r="O1004" s="5">
        <v>28917</v>
      </c>
      <c r="P1004" s="5">
        <v>25211</v>
      </c>
      <c r="Q1004">
        <v>4</v>
      </c>
      <c r="R1004" t="s">
        <v>41</v>
      </c>
    </row>
    <row r="1005" spans="1:18">
      <c r="A1005" t="s">
        <v>1064</v>
      </c>
      <c r="B1005" s="4">
        <v>46230</v>
      </c>
      <c r="C1005" t="s">
        <v>541</v>
      </c>
      <c r="D1005" t="s">
        <v>396</v>
      </c>
      <c r="E1005" t="s">
        <v>404</v>
      </c>
      <c r="F1005" t="s">
        <v>51</v>
      </c>
      <c r="G1005" t="s">
        <v>43</v>
      </c>
      <c r="H1005">
        <v>5</v>
      </c>
      <c r="I1005" s="5">
        <v>174231</v>
      </c>
      <c r="J1005" s="5">
        <v>18461</v>
      </c>
      <c r="K1005" s="5">
        <v>155770</v>
      </c>
      <c r="L1005" s="5">
        <v>94338</v>
      </c>
      <c r="M1005" s="5">
        <v>7977</v>
      </c>
      <c r="N1005" s="5">
        <v>0</v>
      </c>
      <c r="O1005" s="5">
        <v>25137</v>
      </c>
      <c r="P1005" s="5">
        <v>28318</v>
      </c>
      <c r="Q1005">
        <v>6</v>
      </c>
      <c r="R1005" t="s">
        <v>41</v>
      </c>
    </row>
    <row r="1006" spans="1:18">
      <c r="A1006" t="s">
        <v>1065</v>
      </c>
      <c r="B1006" s="4">
        <v>46285</v>
      </c>
      <c r="C1006" t="s">
        <v>541</v>
      </c>
      <c r="D1006" t="s">
        <v>396</v>
      </c>
      <c r="E1006" t="s">
        <v>397</v>
      </c>
      <c r="F1006" t="s">
        <v>49</v>
      </c>
      <c r="G1006" t="s">
        <v>40</v>
      </c>
      <c r="H1006">
        <v>6</v>
      </c>
      <c r="I1006" s="5">
        <v>209615</v>
      </c>
      <c r="J1006" s="5">
        <v>31613</v>
      </c>
      <c r="K1006" s="5">
        <v>178002</v>
      </c>
      <c r="L1006" s="5">
        <v>123127</v>
      </c>
      <c r="M1006" s="5">
        <v>12381</v>
      </c>
      <c r="N1006" s="5">
        <v>0</v>
      </c>
      <c r="O1006" s="5">
        <v>31219</v>
      </c>
      <c r="P1006" s="5">
        <v>11275</v>
      </c>
      <c r="Q1006">
        <v>2</v>
      </c>
      <c r="R1006" t="s">
        <v>41</v>
      </c>
    </row>
    <row r="1007" spans="1:18">
      <c r="A1007" t="s">
        <v>1066</v>
      </c>
      <c r="B1007" s="4">
        <v>46212</v>
      </c>
      <c r="C1007" t="s">
        <v>541</v>
      </c>
      <c r="D1007" t="s">
        <v>396</v>
      </c>
      <c r="E1007" t="s">
        <v>399</v>
      </c>
      <c r="F1007" t="s">
        <v>49</v>
      </c>
      <c r="G1007" t="s">
        <v>40</v>
      </c>
      <c r="H1007">
        <v>1</v>
      </c>
      <c r="I1007" s="5">
        <v>309185</v>
      </c>
      <c r="J1007" s="5">
        <v>47984</v>
      </c>
      <c r="K1007" s="5">
        <v>261201</v>
      </c>
      <c r="L1007" s="5">
        <v>172723</v>
      </c>
      <c r="M1007" s="5">
        <v>15430</v>
      </c>
      <c r="N1007" s="5">
        <v>0</v>
      </c>
      <c r="O1007" s="5">
        <v>53127</v>
      </c>
      <c r="P1007" s="5">
        <v>19921</v>
      </c>
      <c r="Q1007">
        <v>8</v>
      </c>
      <c r="R1007" t="s">
        <v>41</v>
      </c>
    </row>
    <row r="1008" spans="1:18">
      <c r="A1008" t="s">
        <v>1067</v>
      </c>
      <c r="B1008" s="4">
        <v>46287</v>
      </c>
      <c r="C1008" t="s">
        <v>541</v>
      </c>
      <c r="D1008" t="s">
        <v>396</v>
      </c>
      <c r="E1008" t="s">
        <v>404</v>
      </c>
      <c r="F1008" t="s">
        <v>51</v>
      </c>
      <c r="G1008" t="s">
        <v>43</v>
      </c>
      <c r="H1008">
        <v>2</v>
      </c>
      <c r="I1008" s="5">
        <v>215177</v>
      </c>
      <c r="J1008" s="5">
        <v>21472</v>
      </c>
      <c r="K1008" s="5">
        <v>193705</v>
      </c>
      <c r="L1008" s="5">
        <v>117606</v>
      </c>
      <c r="M1008" s="5">
        <v>15394</v>
      </c>
      <c r="N1008" s="5">
        <v>0</v>
      </c>
      <c r="O1008" s="5">
        <v>34526</v>
      </c>
      <c r="P1008" s="5">
        <v>26179</v>
      </c>
      <c r="Q1008">
        <v>6</v>
      </c>
      <c r="R1008" t="s">
        <v>41</v>
      </c>
    </row>
    <row r="1009" spans="1:18">
      <c r="A1009" t="s">
        <v>1068</v>
      </c>
      <c r="B1009" s="4">
        <v>46212</v>
      </c>
      <c r="C1009" t="s">
        <v>541</v>
      </c>
      <c r="D1009" t="s">
        <v>396</v>
      </c>
      <c r="E1009" t="s">
        <v>404</v>
      </c>
      <c r="F1009" t="s">
        <v>49</v>
      </c>
      <c r="G1009" t="s">
        <v>43</v>
      </c>
      <c r="H1009">
        <v>1</v>
      </c>
      <c r="I1009" s="5">
        <v>324431</v>
      </c>
      <c r="J1009" s="5">
        <v>60490</v>
      </c>
      <c r="K1009" s="5">
        <v>263941</v>
      </c>
      <c r="L1009" s="5">
        <v>177027</v>
      </c>
      <c r="M1009" s="5">
        <v>15443</v>
      </c>
      <c r="N1009" s="5">
        <v>0</v>
      </c>
      <c r="O1009" s="5">
        <v>50140</v>
      </c>
      <c r="P1009" s="5">
        <v>21331</v>
      </c>
      <c r="Q1009">
        <v>6</v>
      </c>
      <c r="R1009" t="s">
        <v>41</v>
      </c>
    </row>
    <row r="1010" spans="1:18">
      <c r="A1010" t="s">
        <v>1069</v>
      </c>
      <c r="B1010" s="4">
        <v>46210</v>
      </c>
      <c r="C1010" t="s">
        <v>541</v>
      </c>
      <c r="D1010" t="s">
        <v>396</v>
      </c>
      <c r="E1010" t="s">
        <v>399</v>
      </c>
      <c r="F1010" t="s">
        <v>61</v>
      </c>
      <c r="G1010" t="s">
        <v>40</v>
      </c>
      <c r="H1010">
        <v>4</v>
      </c>
      <c r="I1010" s="5">
        <v>152668</v>
      </c>
      <c r="J1010" s="5">
        <v>22422</v>
      </c>
      <c r="K1010" s="5">
        <v>130246</v>
      </c>
      <c r="L1010" s="5">
        <v>80836</v>
      </c>
      <c r="M1010" s="5">
        <v>8541</v>
      </c>
      <c r="N1010" s="5">
        <v>7048</v>
      </c>
      <c r="O1010" s="5">
        <v>11565</v>
      </c>
      <c r="P1010" s="5">
        <v>22256</v>
      </c>
      <c r="Q1010">
        <v>7</v>
      </c>
      <c r="R1010" t="s">
        <v>53</v>
      </c>
    </row>
    <row r="1011" spans="1:18">
      <c r="A1011" t="s">
        <v>1070</v>
      </c>
      <c r="B1011" s="4">
        <v>46266</v>
      </c>
      <c r="C1011" t="s">
        <v>541</v>
      </c>
      <c r="D1011" t="s">
        <v>396</v>
      </c>
      <c r="E1011" t="s">
        <v>399</v>
      </c>
      <c r="F1011" t="s">
        <v>49</v>
      </c>
      <c r="G1011" t="s">
        <v>40</v>
      </c>
      <c r="H1011">
        <v>5</v>
      </c>
      <c r="I1011" s="5">
        <v>185404</v>
      </c>
      <c r="J1011" s="5">
        <v>27972</v>
      </c>
      <c r="K1011" s="5">
        <v>157432</v>
      </c>
      <c r="L1011" s="5">
        <v>91172</v>
      </c>
      <c r="M1011" s="5">
        <v>10674</v>
      </c>
      <c r="N1011" s="5">
        <v>0</v>
      </c>
      <c r="O1011" s="5">
        <v>28817</v>
      </c>
      <c r="P1011" s="5">
        <v>26769</v>
      </c>
      <c r="Q1011">
        <v>6</v>
      </c>
      <c r="R1011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5"/>
  <sheetViews>
    <sheetView tabSelected="1" workbookViewId="0">
      <selection activeCell="C4" sqref="C4"/>
    </sheetView>
  </sheetViews>
  <sheetFormatPr defaultRowHeight="14.25"/>
  <cols>
    <col min="1" max="1" width="13.375" bestFit="1" customWidth="1"/>
    <col min="2" max="2" width="16" bestFit="1" customWidth="1"/>
    <col min="3" max="3" width="9.75" bestFit="1" customWidth="1"/>
    <col min="4" max="4" width="13.625" bestFit="1" customWidth="1"/>
    <col min="5" max="5" width="17.25" bestFit="1" customWidth="1"/>
    <col min="6" max="6" width="17.125" bestFit="1" customWidth="1"/>
    <col min="7" max="7" width="16.5" bestFit="1" customWidth="1"/>
    <col min="8" max="8" width="14.125" bestFit="1" customWidth="1"/>
    <col min="9" max="9" width="32.875" bestFit="1" customWidth="1"/>
    <col min="10" max="10" width="33.125" bestFit="1" customWidth="1"/>
  </cols>
  <sheetData>
    <row r="1" spans="1:10" ht="29.25" customHeight="1">
      <c r="A1" s="6" t="s">
        <v>1071</v>
      </c>
      <c r="B1" s="6" t="s">
        <v>1072</v>
      </c>
      <c r="C1" s="6" t="s">
        <v>1073</v>
      </c>
      <c r="D1" s="6" t="s">
        <v>17</v>
      </c>
      <c r="E1" s="6" t="s">
        <v>20</v>
      </c>
      <c r="F1" s="6" t="s">
        <v>1074</v>
      </c>
      <c r="G1" s="6" t="s">
        <v>1075</v>
      </c>
      <c r="H1" s="6" t="s">
        <v>1076</v>
      </c>
      <c r="I1" s="6" t="s">
        <v>1077</v>
      </c>
      <c r="J1" s="6" t="s">
        <v>1078</v>
      </c>
    </row>
    <row r="2" spans="1:10">
      <c r="A2" t="s">
        <v>1079</v>
      </c>
      <c r="B2" s="15">
        <v>46125</v>
      </c>
      <c r="C2" t="s">
        <v>1080</v>
      </c>
      <c r="D2" t="s">
        <v>153</v>
      </c>
      <c r="E2" t="s">
        <v>37</v>
      </c>
      <c r="F2" t="s">
        <v>1081</v>
      </c>
      <c r="G2" t="s">
        <v>1082</v>
      </c>
      <c r="H2" s="16">
        <v>4</v>
      </c>
      <c r="I2" t="s">
        <v>53</v>
      </c>
      <c r="J2" s="16">
        <v>5</v>
      </c>
    </row>
    <row r="3" spans="1:10">
      <c r="A3" t="s">
        <v>1083</v>
      </c>
      <c r="B3" s="15">
        <v>46141</v>
      </c>
      <c r="C3" t="s">
        <v>1080</v>
      </c>
      <c r="D3" t="s">
        <v>464</v>
      </c>
      <c r="E3" t="s">
        <v>396</v>
      </c>
      <c r="F3" t="s">
        <v>1084</v>
      </c>
      <c r="G3" t="s">
        <v>1082</v>
      </c>
      <c r="H3" s="16">
        <v>3</v>
      </c>
      <c r="I3" t="s">
        <v>53</v>
      </c>
      <c r="J3" s="16">
        <v>3</v>
      </c>
    </row>
    <row r="4" spans="1:10">
      <c r="A4" t="s">
        <v>1085</v>
      </c>
      <c r="B4" s="15">
        <v>46188</v>
      </c>
      <c r="C4" t="s">
        <v>1080</v>
      </c>
      <c r="D4" t="s">
        <v>183</v>
      </c>
      <c r="E4" t="s">
        <v>37</v>
      </c>
      <c r="F4" t="s">
        <v>1086</v>
      </c>
      <c r="G4" t="s">
        <v>1082</v>
      </c>
      <c r="H4" s="16">
        <v>3</v>
      </c>
      <c r="I4" t="s">
        <v>41</v>
      </c>
      <c r="J4" s="16">
        <v>5</v>
      </c>
    </row>
    <row r="5" spans="1:10">
      <c r="A5" t="s">
        <v>1087</v>
      </c>
      <c r="B5" s="15">
        <v>46129</v>
      </c>
      <c r="C5" t="s">
        <v>1080</v>
      </c>
      <c r="D5" t="s">
        <v>483</v>
      </c>
      <c r="E5" t="s">
        <v>396</v>
      </c>
      <c r="F5" t="s">
        <v>1081</v>
      </c>
      <c r="G5" t="s">
        <v>1082</v>
      </c>
      <c r="H5" s="16">
        <v>2</v>
      </c>
      <c r="I5" t="s">
        <v>41</v>
      </c>
      <c r="J5" s="16">
        <v>3</v>
      </c>
    </row>
    <row r="6" spans="1:10">
      <c r="A6" t="s">
        <v>1088</v>
      </c>
      <c r="B6" s="15">
        <v>46162</v>
      </c>
      <c r="C6" t="s">
        <v>1080</v>
      </c>
      <c r="D6" t="s">
        <v>211</v>
      </c>
      <c r="E6" t="s">
        <v>37</v>
      </c>
      <c r="F6" t="s">
        <v>1086</v>
      </c>
      <c r="G6" t="s">
        <v>1082</v>
      </c>
      <c r="H6" s="16">
        <v>2</v>
      </c>
      <c r="I6" t="s">
        <v>41</v>
      </c>
      <c r="J6" s="16">
        <v>2</v>
      </c>
    </row>
    <row r="7" spans="1:10">
      <c r="A7" t="s">
        <v>1089</v>
      </c>
      <c r="B7" s="15">
        <v>46114</v>
      </c>
      <c r="C7" t="s">
        <v>1080</v>
      </c>
      <c r="D7" t="s">
        <v>271</v>
      </c>
      <c r="E7" t="s">
        <v>231</v>
      </c>
      <c r="F7" t="s">
        <v>1090</v>
      </c>
      <c r="G7" t="s">
        <v>1091</v>
      </c>
      <c r="H7" s="16">
        <v>1</v>
      </c>
      <c r="I7" t="s">
        <v>53</v>
      </c>
      <c r="J7" s="16">
        <v>3</v>
      </c>
    </row>
    <row r="8" spans="1:10">
      <c r="A8" t="s">
        <v>1092</v>
      </c>
      <c r="B8" s="15">
        <v>46186</v>
      </c>
      <c r="C8" t="s">
        <v>1080</v>
      </c>
      <c r="D8" t="s">
        <v>358</v>
      </c>
      <c r="E8" t="s">
        <v>231</v>
      </c>
      <c r="F8" t="s">
        <v>1086</v>
      </c>
      <c r="G8" t="s">
        <v>1093</v>
      </c>
      <c r="H8" s="16">
        <v>4</v>
      </c>
      <c r="I8" t="s">
        <v>53</v>
      </c>
      <c r="J8" s="16">
        <v>2</v>
      </c>
    </row>
    <row r="9" spans="1:10">
      <c r="A9" t="s">
        <v>1094</v>
      </c>
      <c r="B9" s="15">
        <v>46186</v>
      </c>
      <c r="C9" t="s">
        <v>1080</v>
      </c>
      <c r="D9" t="s">
        <v>503</v>
      </c>
      <c r="E9" t="s">
        <v>396</v>
      </c>
      <c r="F9" t="s">
        <v>1090</v>
      </c>
      <c r="G9" t="s">
        <v>1082</v>
      </c>
      <c r="H9" s="16">
        <v>2</v>
      </c>
      <c r="I9" t="s">
        <v>53</v>
      </c>
      <c r="J9" s="16">
        <v>5</v>
      </c>
    </row>
    <row r="10" spans="1:10">
      <c r="A10" t="s">
        <v>1095</v>
      </c>
      <c r="B10" s="15">
        <v>46148</v>
      </c>
      <c r="C10" t="s">
        <v>1080</v>
      </c>
      <c r="D10" t="s">
        <v>531</v>
      </c>
      <c r="E10" t="s">
        <v>396</v>
      </c>
      <c r="F10" t="s">
        <v>1081</v>
      </c>
      <c r="G10" t="s">
        <v>1082</v>
      </c>
      <c r="H10" s="16">
        <v>4</v>
      </c>
      <c r="I10" t="s">
        <v>53</v>
      </c>
      <c r="J10" s="16">
        <v>2</v>
      </c>
    </row>
    <row r="11" spans="1:10">
      <c r="A11" t="s">
        <v>1096</v>
      </c>
      <c r="B11" s="15">
        <v>46145</v>
      </c>
      <c r="C11" t="s">
        <v>1080</v>
      </c>
      <c r="D11" t="s">
        <v>487</v>
      </c>
      <c r="E11" t="s">
        <v>396</v>
      </c>
      <c r="F11" t="s">
        <v>1081</v>
      </c>
      <c r="G11" t="s">
        <v>1097</v>
      </c>
      <c r="H11" s="16">
        <v>6</v>
      </c>
      <c r="I11" t="s">
        <v>53</v>
      </c>
      <c r="J11" s="16">
        <v>3</v>
      </c>
    </row>
    <row r="12" spans="1:10">
      <c r="A12" t="s">
        <v>1098</v>
      </c>
      <c r="B12" s="15">
        <v>46156</v>
      </c>
      <c r="C12" t="s">
        <v>1080</v>
      </c>
      <c r="D12" t="s">
        <v>532</v>
      </c>
      <c r="E12" t="s">
        <v>396</v>
      </c>
      <c r="F12" t="s">
        <v>1084</v>
      </c>
      <c r="G12" t="s">
        <v>1093</v>
      </c>
      <c r="H12" s="16">
        <v>1</v>
      </c>
      <c r="I12" t="s">
        <v>53</v>
      </c>
      <c r="J12" s="16">
        <v>5</v>
      </c>
    </row>
    <row r="13" spans="1:10">
      <c r="A13" t="s">
        <v>1099</v>
      </c>
      <c r="B13" s="15">
        <v>46195</v>
      </c>
      <c r="C13" t="s">
        <v>1080</v>
      </c>
      <c r="D13" t="s">
        <v>52</v>
      </c>
      <c r="E13" t="s">
        <v>37</v>
      </c>
      <c r="F13" t="s">
        <v>1090</v>
      </c>
      <c r="G13" t="s">
        <v>1082</v>
      </c>
      <c r="H13" s="16">
        <v>4</v>
      </c>
      <c r="I13" t="s">
        <v>53</v>
      </c>
      <c r="J13" s="16">
        <v>4</v>
      </c>
    </row>
    <row r="14" spans="1:10">
      <c r="A14" t="s">
        <v>1100</v>
      </c>
      <c r="B14" s="15">
        <v>46128</v>
      </c>
      <c r="C14" t="s">
        <v>1080</v>
      </c>
      <c r="D14" t="s">
        <v>475</v>
      </c>
      <c r="E14" t="s">
        <v>396</v>
      </c>
      <c r="F14" t="s">
        <v>1081</v>
      </c>
      <c r="G14" t="s">
        <v>1097</v>
      </c>
      <c r="H14" s="16">
        <v>4</v>
      </c>
      <c r="I14" t="s">
        <v>53</v>
      </c>
      <c r="J14" s="16">
        <v>2</v>
      </c>
    </row>
    <row r="15" spans="1:10">
      <c r="A15" t="s">
        <v>1101</v>
      </c>
      <c r="B15" s="15">
        <v>46168</v>
      </c>
      <c r="C15" t="s">
        <v>1080</v>
      </c>
      <c r="D15" t="s">
        <v>191</v>
      </c>
      <c r="E15" t="s">
        <v>37</v>
      </c>
      <c r="F15" t="s">
        <v>1084</v>
      </c>
      <c r="G15" t="s">
        <v>1091</v>
      </c>
      <c r="H15" s="16">
        <v>4</v>
      </c>
      <c r="I15" t="s">
        <v>53</v>
      </c>
      <c r="J15" s="16">
        <v>4</v>
      </c>
    </row>
    <row r="16" spans="1:10">
      <c r="A16" t="s">
        <v>1102</v>
      </c>
      <c r="B16" s="15">
        <v>46178</v>
      </c>
      <c r="C16" t="s">
        <v>1080</v>
      </c>
      <c r="D16" t="s">
        <v>99</v>
      </c>
      <c r="E16" t="s">
        <v>37</v>
      </c>
      <c r="F16" t="s">
        <v>1086</v>
      </c>
      <c r="G16" t="s">
        <v>1097</v>
      </c>
      <c r="H16" s="16">
        <v>7</v>
      </c>
      <c r="I16" t="s">
        <v>53</v>
      </c>
      <c r="J16" s="16">
        <v>4</v>
      </c>
    </row>
    <row r="17" spans="1:10">
      <c r="A17" t="s">
        <v>1103</v>
      </c>
      <c r="B17" s="15">
        <v>46138</v>
      </c>
      <c r="C17" t="s">
        <v>1080</v>
      </c>
      <c r="D17" t="s">
        <v>140</v>
      </c>
      <c r="E17" t="s">
        <v>37</v>
      </c>
      <c r="F17" t="s">
        <v>1081</v>
      </c>
      <c r="G17" t="s">
        <v>1091</v>
      </c>
      <c r="H17" s="16">
        <v>5</v>
      </c>
      <c r="I17" t="s">
        <v>53</v>
      </c>
      <c r="J17" s="16">
        <v>2</v>
      </c>
    </row>
    <row r="18" spans="1:10">
      <c r="A18" t="s">
        <v>1104</v>
      </c>
      <c r="B18" s="15">
        <v>46181</v>
      </c>
      <c r="C18" t="s">
        <v>1080</v>
      </c>
      <c r="D18" t="s">
        <v>142</v>
      </c>
      <c r="E18" t="s">
        <v>37</v>
      </c>
      <c r="F18" t="s">
        <v>1086</v>
      </c>
      <c r="G18" t="s">
        <v>1082</v>
      </c>
      <c r="H18" s="16">
        <v>4</v>
      </c>
      <c r="I18" t="s">
        <v>53</v>
      </c>
      <c r="J18" s="16">
        <v>2</v>
      </c>
    </row>
    <row r="19" spans="1:10">
      <c r="A19" t="s">
        <v>1105</v>
      </c>
      <c r="B19" s="15">
        <v>46134</v>
      </c>
      <c r="C19" t="s">
        <v>1080</v>
      </c>
      <c r="D19" t="s">
        <v>495</v>
      </c>
      <c r="E19" t="s">
        <v>396</v>
      </c>
      <c r="F19" t="s">
        <v>1086</v>
      </c>
      <c r="G19" t="s">
        <v>1082</v>
      </c>
      <c r="H19" s="16">
        <v>1</v>
      </c>
      <c r="I19" t="s">
        <v>53</v>
      </c>
      <c r="J19" s="16">
        <v>4</v>
      </c>
    </row>
    <row r="20" spans="1:10">
      <c r="A20" t="s">
        <v>1106</v>
      </c>
      <c r="B20" s="15">
        <v>46132</v>
      </c>
      <c r="C20" t="s">
        <v>1080</v>
      </c>
      <c r="D20" t="s">
        <v>538</v>
      </c>
      <c r="E20" t="s">
        <v>396</v>
      </c>
      <c r="F20" t="s">
        <v>1086</v>
      </c>
      <c r="G20" t="s">
        <v>1082</v>
      </c>
      <c r="H20" s="16">
        <v>2</v>
      </c>
      <c r="I20" t="s">
        <v>53</v>
      </c>
      <c r="J20" s="16">
        <v>3</v>
      </c>
    </row>
    <row r="21" spans="1:10">
      <c r="A21" t="s">
        <v>1107</v>
      </c>
      <c r="B21" s="15">
        <v>46148</v>
      </c>
      <c r="C21" t="s">
        <v>1080</v>
      </c>
      <c r="D21" t="s">
        <v>412</v>
      </c>
      <c r="E21" t="s">
        <v>396</v>
      </c>
      <c r="F21" t="s">
        <v>1086</v>
      </c>
      <c r="G21" t="s">
        <v>1097</v>
      </c>
      <c r="H21" s="16">
        <v>1</v>
      </c>
      <c r="I21" t="s">
        <v>53</v>
      </c>
      <c r="J21" s="16">
        <v>3</v>
      </c>
    </row>
    <row r="22" spans="1:10">
      <c r="A22" t="s">
        <v>1108</v>
      </c>
      <c r="B22" s="15">
        <v>46173</v>
      </c>
      <c r="C22" t="s">
        <v>1080</v>
      </c>
      <c r="D22" t="s">
        <v>169</v>
      </c>
      <c r="E22" t="s">
        <v>37</v>
      </c>
      <c r="F22" t="s">
        <v>1084</v>
      </c>
      <c r="G22" t="s">
        <v>1097</v>
      </c>
      <c r="H22" s="16">
        <v>5</v>
      </c>
      <c r="I22" t="s">
        <v>53</v>
      </c>
      <c r="J22" s="16">
        <v>4</v>
      </c>
    </row>
    <row r="23" spans="1:10">
      <c r="A23" t="s">
        <v>1109</v>
      </c>
      <c r="B23" s="15">
        <v>46113</v>
      </c>
      <c r="C23" t="s">
        <v>1080</v>
      </c>
      <c r="D23" t="s">
        <v>69</v>
      </c>
      <c r="E23" t="s">
        <v>37</v>
      </c>
      <c r="F23" t="s">
        <v>1090</v>
      </c>
      <c r="G23" t="s">
        <v>1082</v>
      </c>
      <c r="H23" s="16">
        <v>3</v>
      </c>
      <c r="I23" t="s">
        <v>53</v>
      </c>
      <c r="J23" s="16">
        <v>3</v>
      </c>
    </row>
    <row r="24" spans="1:10">
      <c r="A24" t="s">
        <v>1110</v>
      </c>
      <c r="B24" s="15">
        <v>46189</v>
      </c>
      <c r="C24" t="s">
        <v>1080</v>
      </c>
      <c r="D24" t="s">
        <v>417</v>
      </c>
      <c r="E24" t="s">
        <v>396</v>
      </c>
      <c r="F24" t="s">
        <v>1086</v>
      </c>
      <c r="G24" t="s">
        <v>1082</v>
      </c>
      <c r="H24" s="16">
        <v>2</v>
      </c>
      <c r="I24" t="s">
        <v>41</v>
      </c>
      <c r="J24" s="16">
        <v>4</v>
      </c>
    </row>
    <row r="25" spans="1:10">
      <c r="A25" t="s">
        <v>1111</v>
      </c>
      <c r="B25" s="15">
        <v>46174</v>
      </c>
      <c r="C25" t="s">
        <v>1080</v>
      </c>
      <c r="D25" t="s">
        <v>276</v>
      </c>
      <c r="E25" t="s">
        <v>231</v>
      </c>
      <c r="F25" t="s">
        <v>1084</v>
      </c>
      <c r="G25" t="s">
        <v>1091</v>
      </c>
      <c r="H25" s="16">
        <v>3</v>
      </c>
      <c r="I25" t="s">
        <v>53</v>
      </c>
      <c r="J25" s="16">
        <v>3</v>
      </c>
    </row>
    <row r="26" spans="1:10">
      <c r="A26" t="s">
        <v>1112</v>
      </c>
      <c r="B26" s="15">
        <v>46195</v>
      </c>
      <c r="C26" t="s">
        <v>1080</v>
      </c>
      <c r="D26" t="s">
        <v>157</v>
      </c>
      <c r="E26" t="s">
        <v>37</v>
      </c>
      <c r="F26" t="s">
        <v>1081</v>
      </c>
      <c r="G26" t="s">
        <v>1093</v>
      </c>
      <c r="H26" s="16">
        <v>5</v>
      </c>
      <c r="I26" t="s">
        <v>53</v>
      </c>
      <c r="J26" s="16">
        <v>3</v>
      </c>
    </row>
    <row r="27" spans="1:10">
      <c r="A27" t="s">
        <v>1113</v>
      </c>
      <c r="B27" s="15">
        <v>46122</v>
      </c>
      <c r="C27" t="s">
        <v>1080</v>
      </c>
      <c r="D27" t="s">
        <v>457</v>
      </c>
      <c r="E27" t="s">
        <v>396</v>
      </c>
      <c r="F27" t="s">
        <v>1090</v>
      </c>
      <c r="G27" t="s">
        <v>1082</v>
      </c>
      <c r="H27" s="16">
        <v>1</v>
      </c>
      <c r="I27" t="s">
        <v>53</v>
      </c>
      <c r="J27" s="16">
        <v>3</v>
      </c>
    </row>
    <row r="28" spans="1:10">
      <c r="A28" t="s">
        <v>1114</v>
      </c>
      <c r="B28" s="15">
        <v>46187</v>
      </c>
      <c r="C28" t="s">
        <v>1080</v>
      </c>
      <c r="D28" t="s">
        <v>273</v>
      </c>
      <c r="E28" t="s">
        <v>231</v>
      </c>
      <c r="F28" t="s">
        <v>1086</v>
      </c>
      <c r="G28" t="s">
        <v>1097</v>
      </c>
      <c r="H28" s="16">
        <v>3</v>
      </c>
      <c r="I28" t="s">
        <v>53</v>
      </c>
      <c r="J28" s="16">
        <v>5</v>
      </c>
    </row>
    <row r="29" spans="1:10">
      <c r="A29" t="s">
        <v>1115</v>
      </c>
      <c r="B29" s="15">
        <v>46154</v>
      </c>
      <c r="C29" t="s">
        <v>1080</v>
      </c>
      <c r="D29" t="s">
        <v>44</v>
      </c>
      <c r="E29" t="s">
        <v>37</v>
      </c>
      <c r="F29" t="s">
        <v>1086</v>
      </c>
      <c r="G29" t="s">
        <v>1082</v>
      </c>
      <c r="H29" s="16">
        <v>7</v>
      </c>
      <c r="I29" t="s">
        <v>53</v>
      </c>
      <c r="J29" s="16">
        <v>3</v>
      </c>
    </row>
    <row r="30" spans="1:10">
      <c r="A30" t="s">
        <v>1116</v>
      </c>
      <c r="B30" s="15">
        <v>46173</v>
      </c>
      <c r="C30" t="s">
        <v>1080</v>
      </c>
      <c r="D30" t="s">
        <v>294</v>
      </c>
      <c r="E30" t="s">
        <v>231</v>
      </c>
      <c r="F30" t="s">
        <v>1081</v>
      </c>
      <c r="G30" t="s">
        <v>1093</v>
      </c>
      <c r="H30" s="16">
        <v>1</v>
      </c>
      <c r="I30" t="s">
        <v>53</v>
      </c>
      <c r="J30" s="16">
        <v>4</v>
      </c>
    </row>
    <row r="31" spans="1:10">
      <c r="A31" t="s">
        <v>1117</v>
      </c>
      <c r="B31" s="15">
        <v>46182</v>
      </c>
      <c r="C31" t="s">
        <v>1080</v>
      </c>
      <c r="D31" t="s">
        <v>516</v>
      </c>
      <c r="E31" t="s">
        <v>396</v>
      </c>
      <c r="F31" t="s">
        <v>1084</v>
      </c>
      <c r="G31" t="s">
        <v>1093</v>
      </c>
      <c r="H31" s="16">
        <v>3</v>
      </c>
      <c r="I31" t="s">
        <v>53</v>
      </c>
      <c r="J31" s="16">
        <v>2</v>
      </c>
    </row>
    <row r="32" spans="1:10">
      <c r="A32" t="s">
        <v>1118</v>
      </c>
      <c r="B32" s="15">
        <v>46118</v>
      </c>
      <c r="C32" t="s">
        <v>1080</v>
      </c>
      <c r="D32" t="s">
        <v>332</v>
      </c>
      <c r="E32" t="s">
        <v>231</v>
      </c>
      <c r="F32" t="s">
        <v>1084</v>
      </c>
      <c r="G32" t="s">
        <v>1082</v>
      </c>
      <c r="H32" s="16">
        <v>6</v>
      </c>
      <c r="I32" t="s">
        <v>53</v>
      </c>
      <c r="J32" s="16">
        <v>3</v>
      </c>
    </row>
    <row r="33" spans="1:10">
      <c r="A33" t="s">
        <v>1119</v>
      </c>
      <c r="B33" s="15">
        <v>46172</v>
      </c>
      <c r="C33" t="s">
        <v>1080</v>
      </c>
      <c r="D33" t="s">
        <v>159</v>
      </c>
      <c r="E33" t="s">
        <v>37</v>
      </c>
      <c r="F33" t="s">
        <v>1086</v>
      </c>
      <c r="G33" t="s">
        <v>1093</v>
      </c>
      <c r="H33" s="16">
        <v>1</v>
      </c>
      <c r="I33" t="s">
        <v>53</v>
      </c>
      <c r="J33" s="16">
        <v>5</v>
      </c>
    </row>
    <row r="34" spans="1:10">
      <c r="A34" t="s">
        <v>1120</v>
      </c>
      <c r="B34" s="15">
        <v>46141</v>
      </c>
      <c r="C34" t="s">
        <v>1080</v>
      </c>
      <c r="D34" t="s">
        <v>368</v>
      </c>
      <c r="E34" t="s">
        <v>231</v>
      </c>
      <c r="F34" t="s">
        <v>1086</v>
      </c>
      <c r="G34" t="s">
        <v>1082</v>
      </c>
      <c r="H34" s="16">
        <v>5</v>
      </c>
      <c r="I34" t="s">
        <v>53</v>
      </c>
      <c r="J34" s="16">
        <v>3</v>
      </c>
    </row>
    <row r="35" spans="1:10">
      <c r="A35" t="s">
        <v>1121</v>
      </c>
      <c r="B35" s="15">
        <v>46189</v>
      </c>
      <c r="C35" t="s">
        <v>1080</v>
      </c>
      <c r="D35" t="s">
        <v>492</v>
      </c>
      <c r="E35" t="s">
        <v>396</v>
      </c>
      <c r="F35" t="s">
        <v>1090</v>
      </c>
      <c r="G35" t="s">
        <v>1091</v>
      </c>
      <c r="H35" s="16">
        <v>2</v>
      </c>
      <c r="I35" t="s">
        <v>41</v>
      </c>
      <c r="J35" s="16">
        <v>4</v>
      </c>
    </row>
    <row r="36" spans="1:10">
      <c r="A36" t="s">
        <v>1122</v>
      </c>
      <c r="B36" s="15">
        <v>46166</v>
      </c>
      <c r="C36" t="s">
        <v>1080</v>
      </c>
      <c r="D36" t="s">
        <v>249</v>
      </c>
      <c r="E36" t="s">
        <v>231</v>
      </c>
      <c r="F36" t="s">
        <v>1090</v>
      </c>
      <c r="G36" t="s">
        <v>1082</v>
      </c>
      <c r="H36" s="16">
        <v>5</v>
      </c>
      <c r="I36" t="s">
        <v>53</v>
      </c>
      <c r="J36" s="16">
        <v>4</v>
      </c>
    </row>
    <row r="37" spans="1:10">
      <c r="A37" t="s">
        <v>1123</v>
      </c>
      <c r="B37" s="15">
        <v>46148</v>
      </c>
      <c r="C37" t="s">
        <v>1080</v>
      </c>
      <c r="D37" t="s">
        <v>114</v>
      </c>
      <c r="E37" t="s">
        <v>37</v>
      </c>
      <c r="F37" t="s">
        <v>1086</v>
      </c>
      <c r="G37" t="s">
        <v>1093</v>
      </c>
      <c r="H37" s="16">
        <v>2</v>
      </c>
      <c r="I37" t="s">
        <v>53</v>
      </c>
      <c r="J37" s="16">
        <v>3</v>
      </c>
    </row>
    <row r="38" spans="1:10">
      <c r="A38" t="s">
        <v>1124</v>
      </c>
      <c r="B38" s="15">
        <v>46123</v>
      </c>
      <c r="C38" t="s">
        <v>1080</v>
      </c>
      <c r="D38" t="s">
        <v>47</v>
      </c>
      <c r="E38" t="s">
        <v>37</v>
      </c>
      <c r="F38" t="s">
        <v>1081</v>
      </c>
      <c r="G38" t="s">
        <v>1093</v>
      </c>
      <c r="H38" s="16">
        <v>2</v>
      </c>
      <c r="I38" t="s">
        <v>53</v>
      </c>
      <c r="J38" s="16">
        <v>3</v>
      </c>
    </row>
    <row r="39" spans="1:10">
      <c r="A39" t="s">
        <v>1125</v>
      </c>
      <c r="B39" s="15">
        <v>46187</v>
      </c>
      <c r="C39" t="s">
        <v>1080</v>
      </c>
      <c r="D39" t="s">
        <v>361</v>
      </c>
      <c r="E39" t="s">
        <v>231</v>
      </c>
      <c r="F39" t="s">
        <v>1086</v>
      </c>
      <c r="G39" t="s">
        <v>1091</v>
      </c>
      <c r="H39" s="16">
        <v>6</v>
      </c>
      <c r="I39" t="s">
        <v>53</v>
      </c>
      <c r="J39" s="16">
        <v>3</v>
      </c>
    </row>
    <row r="40" spans="1:10">
      <c r="A40" t="s">
        <v>1126</v>
      </c>
      <c r="B40" s="15">
        <v>46175</v>
      </c>
      <c r="C40" t="s">
        <v>1080</v>
      </c>
      <c r="D40" t="s">
        <v>193</v>
      </c>
      <c r="E40" t="s">
        <v>37</v>
      </c>
      <c r="F40" t="s">
        <v>1081</v>
      </c>
      <c r="G40" t="s">
        <v>1082</v>
      </c>
      <c r="H40" s="16">
        <v>2</v>
      </c>
      <c r="I40" t="s">
        <v>41</v>
      </c>
      <c r="J40" s="16">
        <v>5</v>
      </c>
    </row>
    <row r="41" spans="1:10">
      <c r="A41" t="s">
        <v>1127</v>
      </c>
      <c r="B41" s="15">
        <v>46179</v>
      </c>
      <c r="C41" t="s">
        <v>1080</v>
      </c>
      <c r="D41" t="s">
        <v>220</v>
      </c>
      <c r="E41" t="s">
        <v>37</v>
      </c>
      <c r="F41" t="s">
        <v>1081</v>
      </c>
      <c r="G41" t="s">
        <v>1093</v>
      </c>
      <c r="H41" s="16">
        <v>4</v>
      </c>
      <c r="I41" t="s">
        <v>53</v>
      </c>
      <c r="J41" s="16">
        <v>4</v>
      </c>
    </row>
    <row r="42" spans="1:10">
      <c r="A42" t="s">
        <v>1128</v>
      </c>
      <c r="B42" s="15">
        <v>46186</v>
      </c>
      <c r="C42" t="s">
        <v>1080</v>
      </c>
      <c r="D42" t="s">
        <v>424</v>
      </c>
      <c r="E42" t="s">
        <v>396</v>
      </c>
      <c r="F42" t="s">
        <v>1086</v>
      </c>
      <c r="G42" t="s">
        <v>1082</v>
      </c>
      <c r="H42" s="16">
        <v>2</v>
      </c>
      <c r="I42" t="s">
        <v>53</v>
      </c>
      <c r="J42" s="16">
        <v>2</v>
      </c>
    </row>
    <row r="43" spans="1:10">
      <c r="A43" t="s">
        <v>1129</v>
      </c>
      <c r="B43" s="15">
        <v>46187</v>
      </c>
      <c r="C43" t="s">
        <v>1080</v>
      </c>
      <c r="D43" t="s">
        <v>389</v>
      </c>
      <c r="E43" t="s">
        <v>231</v>
      </c>
      <c r="F43" t="s">
        <v>1090</v>
      </c>
      <c r="G43" t="s">
        <v>1091</v>
      </c>
      <c r="H43" s="16">
        <v>2</v>
      </c>
      <c r="I43" t="s">
        <v>53</v>
      </c>
      <c r="J43" s="16">
        <v>3</v>
      </c>
    </row>
    <row r="44" spans="1:10">
      <c r="A44" t="s">
        <v>1130</v>
      </c>
      <c r="B44" s="15">
        <v>46171</v>
      </c>
      <c r="C44" t="s">
        <v>1080</v>
      </c>
      <c r="D44" t="s">
        <v>381</v>
      </c>
      <c r="E44" t="s">
        <v>231</v>
      </c>
      <c r="F44" t="s">
        <v>1084</v>
      </c>
      <c r="G44" t="s">
        <v>1082</v>
      </c>
      <c r="H44" s="16">
        <v>1</v>
      </c>
      <c r="I44" t="s">
        <v>53</v>
      </c>
      <c r="J44" s="16">
        <v>4</v>
      </c>
    </row>
    <row r="45" spans="1:10">
      <c r="A45" t="s">
        <v>1131</v>
      </c>
      <c r="B45" s="15">
        <v>46193</v>
      </c>
      <c r="C45" t="s">
        <v>1080</v>
      </c>
      <c r="D45" t="s">
        <v>510</v>
      </c>
      <c r="E45" t="s">
        <v>396</v>
      </c>
      <c r="F45" t="s">
        <v>1086</v>
      </c>
      <c r="G45" t="s">
        <v>1093</v>
      </c>
      <c r="H45" s="16">
        <v>5</v>
      </c>
      <c r="I45" t="s">
        <v>53</v>
      </c>
      <c r="J45" s="16">
        <v>4</v>
      </c>
    </row>
    <row r="46" spans="1:10">
      <c r="A46" t="s">
        <v>1132</v>
      </c>
      <c r="B46" s="15">
        <v>46125</v>
      </c>
      <c r="C46" t="s">
        <v>1080</v>
      </c>
      <c r="D46" t="s">
        <v>124</v>
      </c>
      <c r="E46" t="s">
        <v>37</v>
      </c>
      <c r="F46" t="s">
        <v>1081</v>
      </c>
      <c r="G46" t="s">
        <v>1093</v>
      </c>
      <c r="H46" s="16">
        <v>6</v>
      </c>
      <c r="I46" t="s">
        <v>53</v>
      </c>
      <c r="J46" s="16">
        <v>3</v>
      </c>
    </row>
    <row r="47" spans="1:10">
      <c r="A47" t="s">
        <v>1133</v>
      </c>
      <c r="B47" s="15">
        <v>46171</v>
      </c>
      <c r="C47" t="s">
        <v>1080</v>
      </c>
      <c r="D47" t="s">
        <v>114</v>
      </c>
      <c r="E47" t="s">
        <v>37</v>
      </c>
      <c r="F47" t="s">
        <v>1084</v>
      </c>
      <c r="G47" t="s">
        <v>1097</v>
      </c>
      <c r="H47" s="16">
        <v>4</v>
      </c>
      <c r="I47" t="s">
        <v>53</v>
      </c>
      <c r="J47" s="16">
        <v>5</v>
      </c>
    </row>
    <row r="48" spans="1:10">
      <c r="A48" t="s">
        <v>1134</v>
      </c>
      <c r="B48" s="15">
        <v>46170</v>
      </c>
      <c r="C48" t="s">
        <v>1080</v>
      </c>
      <c r="D48" t="s">
        <v>412</v>
      </c>
      <c r="E48" t="s">
        <v>396</v>
      </c>
      <c r="F48" t="s">
        <v>1084</v>
      </c>
      <c r="G48" t="s">
        <v>1082</v>
      </c>
      <c r="H48" s="16">
        <v>3</v>
      </c>
      <c r="I48" t="s">
        <v>41</v>
      </c>
      <c r="J48" s="16">
        <v>3</v>
      </c>
    </row>
    <row r="49" spans="1:10">
      <c r="A49" t="s">
        <v>1135</v>
      </c>
      <c r="B49" s="15">
        <v>46146</v>
      </c>
      <c r="C49" t="s">
        <v>1080</v>
      </c>
      <c r="D49" t="s">
        <v>441</v>
      </c>
      <c r="E49" t="s">
        <v>396</v>
      </c>
      <c r="F49" t="s">
        <v>1086</v>
      </c>
      <c r="G49" t="s">
        <v>1082</v>
      </c>
      <c r="H49" s="16">
        <v>2</v>
      </c>
      <c r="I49" t="s">
        <v>53</v>
      </c>
      <c r="J49" s="16">
        <v>5</v>
      </c>
    </row>
    <row r="50" spans="1:10">
      <c r="A50" t="s">
        <v>1136</v>
      </c>
      <c r="B50" s="15">
        <v>46157</v>
      </c>
      <c r="C50" t="s">
        <v>1080</v>
      </c>
      <c r="D50" t="s">
        <v>444</v>
      </c>
      <c r="E50" t="s">
        <v>396</v>
      </c>
      <c r="F50" t="s">
        <v>1081</v>
      </c>
      <c r="G50" t="s">
        <v>1082</v>
      </c>
      <c r="H50" s="16">
        <v>4</v>
      </c>
      <c r="I50" t="s">
        <v>53</v>
      </c>
      <c r="J50" s="16">
        <v>4</v>
      </c>
    </row>
    <row r="51" spans="1:10">
      <c r="A51" t="s">
        <v>1137</v>
      </c>
      <c r="B51" s="15">
        <v>46158</v>
      </c>
      <c r="C51" t="s">
        <v>1080</v>
      </c>
      <c r="D51" t="s">
        <v>207</v>
      </c>
      <c r="E51" t="s">
        <v>37</v>
      </c>
      <c r="F51" t="s">
        <v>1086</v>
      </c>
      <c r="G51" t="s">
        <v>1093</v>
      </c>
      <c r="H51" s="16">
        <v>1</v>
      </c>
      <c r="I51" t="s">
        <v>53</v>
      </c>
      <c r="J51" s="16">
        <v>3</v>
      </c>
    </row>
    <row r="52" spans="1:10">
      <c r="A52" t="s">
        <v>1138</v>
      </c>
      <c r="B52" s="15">
        <v>46125</v>
      </c>
      <c r="C52" t="s">
        <v>1080</v>
      </c>
      <c r="D52" t="s">
        <v>423</v>
      </c>
      <c r="E52" t="s">
        <v>396</v>
      </c>
      <c r="F52" t="s">
        <v>1086</v>
      </c>
      <c r="G52" t="s">
        <v>1082</v>
      </c>
      <c r="H52" s="16">
        <v>5</v>
      </c>
      <c r="I52" t="s">
        <v>53</v>
      </c>
      <c r="J52" s="16">
        <v>3</v>
      </c>
    </row>
    <row r="53" spans="1:10">
      <c r="A53" t="s">
        <v>1139</v>
      </c>
      <c r="B53" s="15">
        <v>46194</v>
      </c>
      <c r="C53" t="s">
        <v>1080</v>
      </c>
      <c r="D53" t="s">
        <v>97</v>
      </c>
      <c r="E53" t="s">
        <v>37</v>
      </c>
      <c r="F53" t="s">
        <v>1081</v>
      </c>
      <c r="G53" t="s">
        <v>1093</v>
      </c>
      <c r="H53" s="16">
        <v>1</v>
      </c>
      <c r="I53" t="s">
        <v>53</v>
      </c>
      <c r="J53" s="16">
        <v>4</v>
      </c>
    </row>
    <row r="54" spans="1:10">
      <c r="A54" t="s">
        <v>1140</v>
      </c>
      <c r="B54" s="15">
        <v>46169</v>
      </c>
      <c r="C54" t="s">
        <v>1080</v>
      </c>
      <c r="D54" t="s">
        <v>142</v>
      </c>
      <c r="E54" t="s">
        <v>37</v>
      </c>
      <c r="F54" t="s">
        <v>1090</v>
      </c>
      <c r="G54" t="s">
        <v>1093</v>
      </c>
      <c r="H54" s="16">
        <v>5</v>
      </c>
      <c r="I54" t="s">
        <v>53</v>
      </c>
      <c r="J54" s="16">
        <v>3</v>
      </c>
    </row>
    <row r="55" spans="1:10">
      <c r="A55" t="s">
        <v>1141</v>
      </c>
      <c r="B55" s="15">
        <v>46115</v>
      </c>
      <c r="C55" t="s">
        <v>1080</v>
      </c>
      <c r="D55" t="s">
        <v>428</v>
      </c>
      <c r="E55" t="s">
        <v>396</v>
      </c>
      <c r="F55" t="s">
        <v>1084</v>
      </c>
      <c r="G55" t="s">
        <v>1093</v>
      </c>
      <c r="H55" s="16">
        <v>7</v>
      </c>
      <c r="I55" t="s">
        <v>41</v>
      </c>
      <c r="J55" s="16">
        <v>3</v>
      </c>
    </row>
    <row r="56" spans="1:10">
      <c r="A56" t="s">
        <v>1142</v>
      </c>
      <c r="B56" s="15">
        <v>46184</v>
      </c>
      <c r="C56" t="s">
        <v>1080</v>
      </c>
      <c r="D56" t="s">
        <v>187</v>
      </c>
      <c r="E56" t="s">
        <v>37</v>
      </c>
      <c r="F56" t="s">
        <v>1081</v>
      </c>
      <c r="G56" t="s">
        <v>1082</v>
      </c>
      <c r="H56" s="16">
        <v>3</v>
      </c>
      <c r="I56" t="s">
        <v>53</v>
      </c>
      <c r="J56" s="16">
        <v>3</v>
      </c>
    </row>
    <row r="57" spans="1:10">
      <c r="A57" t="s">
        <v>1143</v>
      </c>
      <c r="B57" s="15">
        <v>46138</v>
      </c>
      <c r="C57" t="s">
        <v>1080</v>
      </c>
      <c r="D57" t="s">
        <v>258</v>
      </c>
      <c r="E57" t="s">
        <v>231</v>
      </c>
      <c r="F57" t="s">
        <v>1086</v>
      </c>
      <c r="G57" t="s">
        <v>1082</v>
      </c>
      <c r="H57" s="16">
        <v>5</v>
      </c>
      <c r="I57" t="s">
        <v>53</v>
      </c>
      <c r="J57" s="16">
        <v>2</v>
      </c>
    </row>
    <row r="58" spans="1:10">
      <c r="A58" t="s">
        <v>1144</v>
      </c>
      <c r="B58" s="15">
        <v>46131</v>
      </c>
      <c r="C58" t="s">
        <v>1080</v>
      </c>
      <c r="D58" t="s">
        <v>487</v>
      </c>
      <c r="E58" t="s">
        <v>396</v>
      </c>
      <c r="F58" t="s">
        <v>1090</v>
      </c>
      <c r="G58" t="s">
        <v>1091</v>
      </c>
      <c r="H58" s="16">
        <v>1</v>
      </c>
      <c r="I58" t="s">
        <v>53</v>
      </c>
      <c r="J58" s="16">
        <v>3</v>
      </c>
    </row>
    <row r="59" spans="1:10">
      <c r="A59" t="s">
        <v>1145</v>
      </c>
      <c r="B59" s="15">
        <v>46126</v>
      </c>
      <c r="C59" t="s">
        <v>1080</v>
      </c>
      <c r="D59" t="s">
        <v>125</v>
      </c>
      <c r="E59" t="s">
        <v>37</v>
      </c>
      <c r="F59" t="s">
        <v>1086</v>
      </c>
      <c r="G59" t="s">
        <v>1082</v>
      </c>
      <c r="H59" s="16">
        <v>1</v>
      </c>
      <c r="I59" t="s">
        <v>53</v>
      </c>
      <c r="J59" s="16">
        <v>4</v>
      </c>
    </row>
    <row r="60" spans="1:10">
      <c r="A60" t="s">
        <v>1146</v>
      </c>
      <c r="B60" s="15">
        <v>46144</v>
      </c>
      <c r="C60" t="s">
        <v>1080</v>
      </c>
      <c r="D60" t="s">
        <v>190</v>
      </c>
      <c r="E60" t="s">
        <v>37</v>
      </c>
      <c r="F60" t="s">
        <v>1086</v>
      </c>
      <c r="G60" t="s">
        <v>1093</v>
      </c>
      <c r="H60" s="16">
        <v>5</v>
      </c>
      <c r="I60" t="s">
        <v>53</v>
      </c>
      <c r="J60" s="16">
        <v>2</v>
      </c>
    </row>
    <row r="61" spans="1:10">
      <c r="A61" t="s">
        <v>1147</v>
      </c>
      <c r="B61" s="15">
        <v>46176</v>
      </c>
      <c r="C61" t="s">
        <v>1080</v>
      </c>
      <c r="D61" t="s">
        <v>107</v>
      </c>
      <c r="E61" t="s">
        <v>37</v>
      </c>
      <c r="F61" t="s">
        <v>1081</v>
      </c>
      <c r="G61" t="s">
        <v>1082</v>
      </c>
      <c r="H61" s="16">
        <v>3</v>
      </c>
      <c r="I61" t="s">
        <v>41</v>
      </c>
      <c r="J61" s="16">
        <v>2</v>
      </c>
    </row>
    <row r="62" spans="1:10">
      <c r="A62" t="s">
        <v>1148</v>
      </c>
      <c r="B62" s="15">
        <v>46140</v>
      </c>
      <c r="C62" t="s">
        <v>1080</v>
      </c>
      <c r="D62" t="s">
        <v>272</v>
      </c>
      <c r="E62" t="s">
        <v>231</v>
      </c>
      <c r="F62" t="s">
        <v>1084</v>
      </c>
      <c r="G62" t="s">
        <v>1093</v>
      </c>
      <c r="H62" s="16">
        <v>5</v>
      </c>
      <c r="I62" t="s">
        <v>53</v>
      </c>
      <c r="J62" s="16">
        <v>5</v>
      </c>
    </row>
    <row r="63" spans="1:10">
      <c r="A63" t="s">
        <v>1149</v>
      </c>
      <c r="B63" s="15">
        <v>46191</v>
      </c>
      <c r="C63" t="s">
        <v>1080</v>
      </c>
      <c r="D63" t="s">
        <v>358</v>
      </c>
      <c r="E63" t="s">
        <v>231</v>
      </c>
      <c r="F63" t="s">
        <v>1081</v>
      </c>
      <c r="G63" t="s">
        <v>1091</v>
      </c>
      <c r="H63" s="16">
        <v>3</v>
      </c>
      <c r="I63" t="s">
        <v>53</v>
      </c>
      <c r="J63" s="16">
        <v>2</v>
      </c>
    </row>
    <row r="64" spans="1:10">
      <c r="A64" t="s">
        <v>1150</v>
      </c>
      <c r="B64" s="15">
        <v>46136</v>
      </c>
      <c r="C64" t="s">
        <v>1080</v>
      </c>
      <c r="D64" t="s">
        <v>182</v>
      </c>
      <c r="E64" t="s">
        <v>37</v>
      </c>
      <c r="F64" t="s">
        <v>1090</v>
      </c>
      <c r="G64" t="s">
        <v>1093</v>
      </c>
      <c r="H64" s="16">
        <v>2</v>
      </c>
      <c r="I64" t="s">
        <v>53</v>
      </c>
      <c r="J64" s="16">
        <v>4</v>
      </c>
    </row>
    <row r="65" spans="1:10">
      <c r="A65" t="s">
        <v>1151</v>
      </c>
      <c r="B65" s="15">
        <v>46146</v>
      </c>
      <c r="C65" t="s">
        <v>1080</v>
      </c>
      <c r="D65" t="s">
        <v>493</v>
      </c>
      <c r="E65" t="s">
        <v>396</v>
      </c>
      <c r="F65" t="s">
        <v>1084</v>
      </c>
      <c r="G65" t="s">
        <v>1082</v>
      </c>
      <c r="H65" s="16">
        <v>5</v>
      </c>
      <c r="I65" t="s">
        <v>53</v>
      </c>
      <c r="J65" s="16">
        <v>4</v>
      </c>
    </row>
    <row r="66" spans="1:10">
      <c r="A66" t="s">
        <v>1152</v>
      </c>
      <c r="B66" s="15">
        <v>46153</v>
      </c>
      <c r="C66" t="s">
        <v>1080</v>
      </c>
      <c r="D66" t="s">
        <v>188</v>
      </c>
      <c r="E66" t="s">
        <v>37</v>
      </c>
      <c r="F66" t="s">
        <v>1081</v>
      </c>
      <c r="G66" t="s">
        <v>1093</v>
      </c>
      <c r="H66" s="16">
        <v>3</v>
      </c>
      <c r="I66" t="s">
        <v>53</v>
      </c>
      <c r="J66" s="16">
        <v>3</v>
      </c>
    </row>
    <row r="67" spans="1:10">
      <c r="A67" t="s">
        <v>1153</v>
      </c>
      <c r="B67" s="15">
        <v>46154</v>
      </c>
      <c r="C67" t="s">
        <v>1080</v>
      </c>
      <c r="D67" t="s">
        <v>298</v>
      </c>
      <c r="E67" t="s">
        <v>231</v>
      </c>
      <c r="F67" t="s">
        <v>1084</v>
      </c>
      <c r="G67" t="s">
        <v>1082</v>
      </c>
      <c r="H67" s="16">
        <v>5</v>
      </c>
      <c r="I67" t="s">
        <v>41</v>
      </c>
      <c r="J67" s="16">
        <v>3</v>
      </c>
    </row>
    <row r="68" spans="1:10">
      <c r="A68" t="s">
        <v>1154</v>
      </c>
      <c r="B68" s="15">
        <v>46203</v>
      </c>
      <c r="C68" t="s">
        <v>1080</v>
      </c>
      <c r="D68" t="s">
        <v>171</v>
      </c>
      <c r="E68" t="s">
        <v>37</v>
      </c>
      <c r="F68" t="s">
        <v>1081</v>
      </c>
      <c r="G68" t="s">
        <v>1093</v>
      </c>
      <c r="H68" s="16">
        <v>3</v>
      </c>
      <c r="I68" t="s">
        <v>41</v>
      </c>
      <c r="J68" s="16">
        <v>4</v>
      </c>
    </row>
    <row r="69" spans="1:10">
      <c r="A69" t="s">
        <v>1155</v>
      </c>
      <c r="B69" s="15">
        <v>46142</v>
      </c>
      <c r="C69" t="s">
        <v>1080</v>
      </c>
      <c r="D69" t="s">
        <v>324</v>
      </c>
      <c r="E69" t="s">
        <v>231</v>
      </c>
      <c r="F69" t="s">
        <v>1090</v>
      </c>
      <c r="G69" t="s">
        <v>1082</v>
      </c>
      <c r="H69" s="16">
        <v>3</v>
      </c>
      <c r="I69" t="s">
        <v>53</v>
      </c>
      <c r="J69" s="16">
        <v>4</v>
      </c>
    </row>
    <row r="70" spans="1:10">
      <c r="A70" t="s">
        <v>1156</v>
      </c>
      <c r="B70" s="15">
        <v>46147</v>
      </c>
      <c r="C70" t="s">
        <v>1080</v>
      </c>
      <c r="D70" t="s">
        <v>197</v>
      </c>
      <c r="E70" t="s">
        <v>37</v>
      </c>
      <c r="F70" t="s">
        <v>1084</v>
      </c>
      <c r="G70" t="s">
        <v>1093</v>
      </c>
      <c r="H70" s="16">
        <v>2</v>
      </c>
      <c r="I70" t="s">
        <v>41</v>
      </c>
      <c r="J70" s="16">
        <v>4</v>
      </c>
    </row>
    <row r="71" spans="1:10">
      <c r="A71" t="s">
        <v>1157</v>
      </c>
      <c r="B71" s="15">
        <v>46176</v>
      </c>
      <c r="C71" t="s">
        <v>1080</v>
      </c>
      <c r="D71" t="s">
        <v>201</v>
      </c>
      <c r="E71" t="s">
        <v>37</v>
      </c>
      <c r="F71" t="s">
        <v>1084</v>
      </c>
      <c r="G71" t="s">
        <v>1093</v>
      </c>
      <c r="H71" s="16">
        <v>2</v>
      </c>
      <c r="I71" t="s">
        <v>53</v>
      </c>
      <c r="J71" s="16">
        <v>4</v>
      </c>
    </row>
    <row r="72" spans="1:10">
      <c r="A72" t="s">
        <v>1158</v>
      </c>
      <c r="B72" s="15">
        <v>46196</v>
      </c>
      <c r="C72" t="s">
        <v>1080</v>
      </c>
      <c r="D72" t="s">
        <v>249</v>
      </c>
      <c r="E72" t="s">
        <v>231</v>
      </c>
      <c r="F72" t="s">
        <v>1081</v>
      </c>
      <c r="G72" t="s">
        <v>1082</v>
      </c>
      <c r="H72" s="16">
        <v>5</v>
      </c>
      <c r="I72" t="s">
        <v>53</v>
      </c>
      <c r="J72" s="16">
        <v>4</v>
      </c>
    </row>
    <row r="73" spans="1:10">
      <c r="A73" t="s">
        <v>1159</v>
      </c>
      <c r="B73" s="15">
        <v>46131</v>
      </c>
      <c r="C73" t="s">
        <v>1080</v>
      </c>
      <c r="D73" t="s">
        <v>416</v>
      </c>
      <c r="E73" t="s">
        <v>396</v>
      </c>
      <c r="F73" t="s">
        <v>1086</v>
      </c>
      <c r="G73" t="s">
        <v>1093</v>
      </c>
      <c r="H73" s="16">
        <v>3</v>
      </c>
      <c r="I73" t="s">
        <v>53</v>
      </c>
      <c r="J73" s="16">
        <v>5</v>
      </c>
    </row>
    <row r="74" spans="1:10">
      <c r="A74" t="s">
        <v>1160</v>
      </c>
      <c r="B74" s="15">
        <v>46116</v>
      </c>
      <c r="C74" t="s">
        <v>1080</v>
      </c>
      <c r="D74" t="s">
        <v>203</v>
      </c>
      <c r="E74" t="s">
        <v>37</v>
      </c>
      <c r="F74" t="s">
        <v>1081</v>
      </c>
      <c r="G74" t="s">
        <v>1093</v>
      </c>
      <c r="H74" s="16">
        <v>6</v>
      </c>
      <c r="I74" t="s">
        <v>53</v>
      </c>
      <c r="J74" s="16">
        <v>5</v>
      </c>
    </row>
    <row r="75" spans="1:10">
      <c r="A75" t="s">
        <v>1161</v>
      </c>
      <c r="B75" s="15">
        <v>46163</v>
      </c>
      <c r="C75" t="s">
        <v>1080</v>
      </c>
      <c r="D75" t="s">
        <v>105</v>
      </c>
      <c r="E75" t="s">
        <v>37</v>
      </c>
      <c r="F75" t="s">
        <v>1086</v>
      </c>
      <c r="G75" t="s">
        <v>1082</v>
      </c>
      <c r="H75" s="16">
        <v>5</v>
      </c>
      <c r="I75" t="s">
        <v>53</v>
      </c>
      <c r="J75" s="16">
        <v>3</v>
      </c>
    </row>
    <row r="76" spans="1:10">
      <c r="A76" t="s">
        <v>1162</v>
      </c>
      <c r="B76" s="15">
        <v>46185</v>
      </c>
      <c r="C76" t="s">
        <v>1080</v>
      </c>
      <c r="D76" t="s">
        <v>530</v>
      </c>
      <c r="E76" t="s">
        <v>396</v>
      </c>
      <c r="F76" t="s">
        <v>1084</v>
      </c>
      <c r="G76" t="s">
        <v>1093</v>
      </c>
      <c r="H76" s="16">
        <v>2</v>
      </c>
      <c r="I76" t="s">
        <v>53</v>
      </c>
      <c r="J76" s="16">
        <v>3</v>
      </c>
    </row>
    <row r="77" spans="1:10">
      <c r="A77" t="s">
        <v>1163</v>
      </c>
      <c r="B77" s="15">
        <v>46200</v>
      </c>
      <c r="C77" t="s">
        <v>1080</v>
      </c>
      <c r="D77" t="s">
        <v>200</v>
      </c>
      <c r="E77" t="s">
        <v>37</v>
      </c>
      <c r="F77" t="s">
        <v>1081</v>
      </c>
      <c r="G77" t="s">
        <v>1097</v>
      </c>
      <c r="H77" s="16">
        <v>6</v>
      </c>
      <c r="I77" t="s">
        <v>53</v>
      </c>
      <c r="J77" s="16">
        <v>4</v>
      </c>
    </row>
    <row r="78" spans="1:10">
      <c r="A78" t="s">
        <v>1164</v>
      </c>
      <c r="B78" s="15">
        <v>46188</v>
      </c>
      <c r="C78" t="s">
        <v>1080</v>
      </c>
      <c r="D78" t="s">
        <v>265</v>
      </c>
      <c r="E78" t="s">
        <v>231</v>
      </c>
      <c r="F78" t="s">
        <v>1086</v>
      </c>
      <c r="G78" t="s">
        <v>1082</v>
      </c>
      <c r="H78" s="16">
        <v>6</v>
      </c>
      <c r="I78" t="s">
        <v>53</v>
      </c>
      <c r="J78" s="16">
        <v>3</v>
      </c>
    </row>
    <row r="79" spans="1:10">
      <c r="A79" t="s">
        <v>1165</v>
      </c>
      <c r="B79" s="15">
        <v>46180</v>
      </c>
      <c r="C79" t="s">
        <v>1080</v>
      </c>
      <c r="D79" t="s">
        <v>505</v>
      </c>
      <c r="E79" t="s">
        <v>396</v>
      </c>
      <c r="F79" t="s">
        <v>1086</v>
      </c>
      <c r="G79" t="s">
        <v>1093</v>
      </c>
      <c r="H79" s="16">
        <v>4</v>
      </c>
      <c r="I79" t="s">
        <v>53</v>
      </c>
      <c r="J79" s="16">
        <v>2</v>
      </c>
    </row>
    <row r="80" spans="1:10">
      <c r="A80" t="s">
        <v>1166</v>
      </c>
      <c r="B80" s="15">
        <v>46136</v>
      </c>
      <c r="C80" t="s">
        <v>1080</v>
      </c>
      <c r="D80" t="s">
        <v>407</v>
      </c>
      <c r="E80" t="s">
        <v>396</v>
      </c>
      <c r="F80" t="s">
        <v>1084</v>
      </c>
      <c r="G80" t="s">
        <v>1093</v>
      </c>
      <c r="H80" s="16">
        <v>3</v>
      </c>
      <c r="I80" t="s">
        <v>53</v>
      </c>
      <c r="J80" s="16">
        <v>3</v>
      </c>
    </row>
    <row r="81" spans="1:10">
      <c r="A81" t="s">
        <v>1167</v>
      </c>
      <c r="B81" s="15">
        <v>46155</v>
      </c>
      <c r="C81" t="s">
        <v>1080</v>
      </c>
      <c r="D81" t="s">
        <v>422</v>
      </c>
      <c r="E81" t="s">
        <v>396</v>
      </c>
      <c r="F81" t="s">
        <v>1081</v>
      </c>
      <c r="G81" t="s">
        <v>1093</v>
      </c>
      <c r="H81" s="16">
        <v>2</v>
      </c>
      <c r="I81" t="s">
        <v>53</v>
      </c>
      <c r="J81" s="16">
        <v>2</v>
      </c>
    </row>
    <row r="82" spans="1:10">
      <c r="A82" t="s">
        <v>1168</v>
      </c>
      <c r="B82" s="15">
        <v>46161</v>
      </c>
      <c r="C82" t="s">
        <v>1080</v>
      </c>
      <c r="D82" t="s">
        <v>521</v>
      </c>
      <c r="E82" t="s">
        <v>396</v>
      </c>
      <c r="F82" t="s">
        <v>1090</v>
      </c>
      <c r="G82" t="s">
        <v>1091</v>
      </c>
      <c r="H82" s="16">
        <v>1</v>
      </c>
      <c r="I82" t="s">
        <v>53</v>
      </c>
      <c r="J82" s="16">
        <v>4</v>
      </c>
    </row>
    <row r="83" spans="1:10">
      <c r="A83" t="s">
        <v>1169</v>
      </c>
      <c r="B83" s="15">
        <v>46152</v>
      </c>
      <c r="C83" t="s">
        <v>1080</v>
      </c>
      <c r="D83" t="s">
        <v>325</v>
      </c>
      <c r="E83" t="s">
        <v>231</v>
      </c>
      <c r="F83" t="s">
        <v>1086</v>
      </c>
      <c r="G83" t="s">
        <v>1091</v>
      </c>
      <c r="H83" s="16">
        <v>5</v>
      </c>
      <c r="I83" t="s">
        <v>53</v>
      </c>
      <c r="J83" s="16">
        <v>2</v>
      </c>
    </row>
    <row r="84" spans="1:10">
      <c r="A84" t="s">
        <v>1170</v>
      </c>
      <c r="B84" s="15">
        <v>46164</v>
      </c>
      <c r="C84" t="s">
        <v>1080</v>
      </c>
      <c r="D84" t="s">
        <v>101</v>
      </c>
      <c r="E84" t="s">
        <v>37</v>
      </c>
      <c r="F84" t="s">
        <v>1084</v>
      </c>
      <c r="G84" t="s">
        <v>1082</v>
      </c>
      <c r="H84" s="16">
        <v>2</v>
      </c>
      <c r="I84" t="s">
        <v>53</v>
      </c>
      <c r="J84" s="16">
        <v>3</v>
      </c>
    </row>
    <row r="85" spans="1:10">
      <c r="A85" t="s">
        <v>1171</v>
      </c>
      <c r="B85" s="15">
        <v>46123</v>
      </c>
      <c r="C85" t="s">
        <v>1080</v>
      </c>
      <c r="D85" t="s">
        <v>136</v>
      </c>
      <c r="E85" t="s">
        <v>37</v>
      </c>
      <c r="F85" t="s">
        <v>1086</v>
      </c>
      <c r="G85" t="s">
        <v>1082</v>
      </c>
      <c r="H85" s="16">
        <v>4</v>
      </c>
      <c r="I85" t="s">
        <v>41</v>
      </c>
      <c r="J85" s="16">
        <v>5</v>
      </c>
    </row>
    <row r="86" spans="1:10">
      <c r="A86" t="s">
        <v>1172</v>
      </c>
      <c r="B86" s="15">
        <v>46184</v>
      </c>
      <c r="C86" t="s">
        <v>1080</v>
      </c>
      <c r="D86" t="s">
        <v>415</v>
      </c>
      <c r="E86" t="s">
        <v>396</v>
      </c>
      <c r="F86" t="s">
        <v>1084</v>
      </c>
      <c r="G86" t="s">
        <v>1082</v>
      </c>
      <c r="H86" s="16">
        <v>5</v>
      </c>
      <c r="I86" t="s">
        <v>53</v>
      </c>
      <c r="J86" s="16">
        <v>2</v>
      </c>
    </row>
    <row r="87" spans="1:10">
      <c r="A87" t="s">
        <v>1173</v>
      </c>
      <c r="B87" s="15">
        <v>46180</v>
      </c>
      <c r="C87" t="s">
        <v>1080</v>
      </c>
      <c r="D87" t="s">
        <v>47</v>
      </c>
      <c r="E87" t="s">
        <v>37</v>
      </c>
      <c r="F87" t="s">
        <v>1086</v>
      </c>
      <c r="G87" t="s">
        <v>1093</v>
      </c>
      <c r="H87" s="16">
        <v>4</v>
      </c>
      <c r="I87" t="s">
        <v>53</v>
      </c>
      <c r="J87" s="16">
        <v>2</v>
      </c>
    </row>
    <row r="88" spans="1:10">
      <c r="A88" t="s">
        <v>1174</v>
      </c>
      <c r="B88" s="15">
        <v>46160</v>
      </c>
      <c r="C88" t="s">
        <v>1080</v>
      </c>
      <c r="D88" t="s">
        <v>252</v>
      </c>
      <c r="E88" t="s">
        <v>231</v>
      </c>
      <c r="F88" t="s">
        <v>1084</v>
      </c>
      <c r="G88" t="s">
        <v>1091</v>
      </c>
      <c r="H88" s="16">
        <v>3</v>
      </c>
      <c r="I88" t="s">
        <v>53</v>
      </c>
      <c r="J88" s="16">
        <v>4</v>
      </c>
    </row>
    <row r="89" spans="1:10">
      <c r="A89" t="s">
        <v>1175</v>
      </c>
      <c r="B89" s="15">
        <v>46176</v>
      </c>
      <c r="C89" t="s">
        <v>1080</v>
      </c>
      <c r="D89" t="s">
        <v>281</v>
      </c>
      <c r="E89" t="s">
        <v>231</v>
      </c>
      <c r="F89" t="s">
        <v>1081</v>
      </c>
      <c r="G89" t="s">
        <v>1097</v>
      </c>
      <c r="H89" s="16">
        <v>4</v>
      </c>
      <c r="I89" t="s">
        <v>53</v>
      </c>
      <c r="J89" s="16">
        <v>4</v>
      </c>
    </row>
    <row r="90" spans="1:10">
      <c r="A90" t="s">
        <v>1176</v>
      </c>
      <c r="B90" s="15">
        <v>46189</v>
      </c>
      <c r="C90" t="s">
        <v>1080</v>
      </c>
      <c r="D90" t="s">
        <v>495</v>
      </c>
      <c r="E90" t="s">
        <v>396</v>
      </c>
      <c r="F90" t="s">
        <v>1084</v>
      </c>
      <c r="G90" t="s">
        <v>1082</v>
      </c>
      <c r="H90" s="16">
        <v>4</v>
      </c>
      <c r="I90" t="s">
        <v>53</v>
      </c>
      <c r="J90" s="16">
        <v>3</v>
      </c>
    </row>
    <row r="91" spans="1:10">
      <c r="A91" t="s">
        <v>1177</v>
      </c>
      <c r="B91" s="15">
        <v>46135</v>
      </c>
      <c r="C91" t="s">
        <v>1080</v>
      </c>
      <c r="D91" t="s">
        <v>179</v>
      </c>
      <c r="E91" t="s">
        <v>37</v>
      </c>
      <c r="F91" t="s">
        <v>1084</v>
      </c>
      <c r="G91" t="s">
        <v>1082</v>
      </c>
      <c r="H91" s="16">
        <v>3</v>
      </c>
      <c r="I91" t="s">
        <v>53</v>
      </c>
      <c r="J91" s="16">
        <v>5</v>
      </c>
    </row>
    <row r="92" spans="1:10">
      <c r="A92" t="s">
        <v>1178</v>
      </c>
      <c r="B92" s="15">
        <v>46128</v>
      </c>
      <c r="C92" t="s">
        <v>1080</v>
      </c>
      <c r="D92" t="s">
        <v>314</v>
      </c>
      <c r="E92" t="s">
        <v>231</v>
      </c>
      <c r="F92" t="s">
        <v>1081</v>
      </c>
      <c r="G92" t="s">
        <v>1091</v>
      </c>
      <c r="H92" s="16">
        <v>4</v>
      </c>
      <c r="I92" t="s">
        <v>53</v>
      </c>
      <c r="J92" s="16">
        <v>4</v>
      </c>
    </row>
    <row r="93" spans="1:10">
      <c r="A93" t="s">
        <v>1179</v>
      </c>
      <c r="B93" s="15">
        <v>46136</v>
      </c>
      <c r="C93" t="s">
        <v>1080</v>
      </c>
      <c r="D93" t="s">
        <v>201</v>
      </c>
      <c r="E93" t="s">
        <v>37</v>
      </c>
      <c r="F93" t="s">
        <v>1090</v>
      </c>
      <c r="G93" t="s">
        <v>1097</v>
      </c>
      <c r="H93" s="16">
        <v>3</v>
      </c>
      <c r="I93" t="s">
        <v>53</v>
      </c>
      <c r="J93" s="16">
        <v>5</v>
      </c>
    </row>
    <row r="94" spans="1:10">
      <c r="A94" t="s">
        <v>1180</v>
      </c>
      <c r="B94" s="15">
        <v>46156</v>
      </c>
      <c r="C94" t="s">
        <v>1080</v>
      </c>
      <c r="D94" t="s">
        <v>516</v>
      </c>
      <c r="E94" t="s">
        <v>396</v>
      </c>
      <c r="F94" t="s">
        <v>1090</v>
      </c>
      <c r="G94" t="s">
        <v>1082</v>
      </c>
      <c r="H94" s="16">
        <v>5</v>
      </c>
      <c r="I94" t="s">
        <v>53</v>
      </c>
      <c r="J94" s="16">
        <v>4</v>
      </c>
    </row>
    <row r="95" spans="1:10">
      <c r="A95" t="s">
        <v>1181</v>
      </c>
      <c r="B95" s="15">
        <v>46170</v>
      </c>
      <c r="C95" t="s">
        <v>1080</v>
      </c>
      <c r="D95" t="s">
        <v>429</v>
      </c>
      <c r="E95" t="s">
        <v>396</v>
      </c>
      <c r="F95" t="s">
        <v>1084</v>
      </c>
      <c r="G95" t="s">
        <v>1097</v>
      </c>
      <c r="H95" s="16">
        <v>2</v>
      </c>
      <c r="I95" t="s">
        <v>53</v>
      </c>
      <c r="J95" s="16">
        <v>4</v>
      </c>
    </row>
    <row r="96" spans="1:10">
      <c r="A96" t="s">
        <v>1182</v>
      </c>
      <c r="B96" s="15">
        <v>46137</v>
      </c>
      <c r="C96" t="s">
        <v>1080</v>
      </c>
      <c r="D96" t="s">
        <v>153</v>
      </c>
      <c r="E96" t="s">
        <v>37</v>
      </c>
      <c r="F96" t="s">
        <v>1086</v>
      </c>
      <c r="G96" t="s">
        <v>1093</v>
      </c>
      <c r="H96" s="16">
        <v>5</v>
      </c>
      <c r="I96" t="s">
        <v>53</v>
      </c>
      <c r="J96" s="16">
        <v>4</v>
      </c>
    </row>
    <row r="97" spans="1:10">
      <c r="A97" t="s">
        <v>1183</v>
      </c>
      <c r="B97" s="15">
        <v>46197</v>
      </c>
      <c r="C97" t="s">
        <v>1080</v>
      </c>
      <c r="D97" t="s">
        <v>201</v>
      </c>
      <c r="E97" t="s">
        <v>37</v>
      </c>
      <c r="F97" t="s">
        <v>1086</v>
      </c>
      <c r="G97" t="s">
        <v>1091</v>
      </c>
      <c r="H97" s="16">
        <v>4</v>
      </c>
      <c r="I97" t="s">
        <v>53</v>
      </c>
      <c r="J97" s="16">
        <v>4</v>
      </c>
    </row>
    <row r="98" spans="1:10">
      <c r="A98" t="s">
        <v>1184</v>
      </c>
      <c r="B98" s="15">
        <v>46185</v>
      </c>
      <c r="C98" t="s">
        <v>1080</v>
      </c>
      <c r="D98" t="s">
        <v>197</v>
      </c>
      <c r="E98" t="s">
        <v>37</v>
      </c>
      <c r="F98" t="s">
        <v>1084</v>
      </c>
      <c r="G98" t="s">
        <v>1091</v>
      </c>
      <c r="H98" s="16">
        <v>1</v>
      </c>
      <c r="I98" t="s">
        <v>53</v>
      </c>
      <c r="J98" s="16">
        <v>4</v>
      </c>
    </row>
    <row r="99" spans="1:10">
      <c r="A99" t="s">
        <v>1185</v>
      </c>
      <c r="B99" s="15">
        <v>46195</v>
      </c>
      <c r="C99" t="s">
        <v>1080</v>
      </c>
      <c r="D99" t="s">
        <v>101</v>
      </c>
      <c r="E99" t="s">
        <v>37</v>
      </c>
      <c r="F99" t="s">
        <v>1090</v>
      </c>
      <c r="G99" t="s">
        <v>1093</v>
      </c>
      <c r="H99" s="16">
        <v>3</v>
      </c>
      <c r="I99" t="s">
        <v>53</v>
      </c>
      <c r="J99" s="16">
        <v>4</v>
      </c>
    </row>
    <row r="100" spans="1:10">
      <c r="A100" t="s">
        <v>1186</v>
      </c>
      <c r="B100" s="15">
        <v>46167</v>
      </c>
      <c r="C100" t="s">
        <v>1080</v>
      </c>
      <c r="D100" t="s">
        <v>153</v>
      </c>
      <c r="E100" t="s">
        <v>37</v>
      </c>
      <c r="F100" t="s">
        <v>1084</v>
      </c>
      <c r="G100" t="s">
        <v>1082</v>
      </c>
      <c r="H100" s="16">
        <v>6</v>
      </c>
      <c r="I100" t="s">
        <v>53</v>
      </c>
      <c r="J100" s="16">
        <v>5</v>
      </c>
    </row>
    <row r="101" spans="1:10">
      <c r="A101" t="s">
        <v>1187</v>
      </c>
      <c r="B101" s="15">
        <v>46175</v>
      </c>
      <c r="C101" t="s">
        <v>1080</v>
      </c>
      <c r="D101" t="s">
        <v>76</v>
      </c>
      <c r="E101" t="s">
        <v>37</v>
      </c>
      <c r="F101" t="s">
        <v>1090</v>
      </c>
      <c r="G101" t="s">
        <v>1082</v>
      </c>
      <c r="H101" s="16">
        <v>6</v>
      </c>
      <c r="I101" t="s">
        <v>53</v>
      </c>
      <c r="J101" s="16">
        <v>2</v>
      </c>
    </row>
    <row r="102" spans="1:10">
      <c r="A102" t="s">
        <v>1188</v>
      </c>
      <c r="B102" s="15">
        <v>46200</v>
      </c>
      <c r="C102" t="s">
        <v>1080</v>
      </c>
      <c r="D102" t="s">
        <v>249</v>
      </c>
      <c r="E102" t="s">
        <v>231</v>
      </c>
      <c r="F102" t="s">
        <v>1086</v>
      </c>
      <c r="G102" t="s">
        <v>1082</v>
      </c>
      <c r="H102" s="16">
        <v>2</v>
      </c>
      <c r="I102" t="s">
        <v>53</v>
      </c>
      <c r="J102" s="16">
        <v>3</v>
      </c>
    </row>
    <row r="103" spans="1:10">
      <c r="A103" t="s">
        <v>1189</v>
      </c>
      <c r="B103" s="15">
        <v>46152</v>
      </c>
      <c r="C103" t="s">
        <v>1080</v>
      </c>
      <c r="D103" t="s">
        <v>200</v>
      </c>
      <c r="E103" t="s">
        <v>37</v>
      </c>
      <c r="F103" t="s">
        <v>1084</v>
      </c>
      <c r="G103" t="s">
        <v>1082</v>
      </c>
      <c r="H103" s="16">
        <v>4</v>
      </c>
      <c r="I103" t="s">
        <v>53</v>
      </c>
      <c r="J103" s="16">
        <v>2</v>
      </c>
    </row>
    <row r="104" spans="1:10">
      <c r="A104" t="s">
        <v>1190</v>
      </c>
      <c r="B104" s="15">
        <v>46181</v>
      </c>
      <c r="C104" t="s">
        <v>1080</v>
      </c>
      <c r="D104" t="s">
        <v>54</v>
      </c>
      <c r="E104" t="s">
        <v>37</v>
      </c>
      <c r="F104" t="s">
        <v>1084</v>
      </c>
      <c r="G104" t="s">
        <v>1093</v>
      </c>
      <c r="H104" s="16">
        <v>2</v>
      </c>
      <c r="I104" t="s">
        <v>53</v>
      </c>
      <c r="J104" s="16">
        <v>2</v>
      </c>
    </row>
    <row r="105" spans="1:10">
      <c r="A105" t="s">
        <v>1191</v>
      </c>
      <c r="B105" s="15">
        <v>46158</v>
      </c>
      <c r="C105" t="s">
        <v>1080</v>
      </c>
      <c r="D105" t="s">
        <v>187</v>
      </c>
      <c r="E105" t="s">
        <v>37</v>
      </c>
      <c r="F105" t="s">
        <v>1090</v>
      </c>
      <c r="G105" t="s">
        <v>1091</v>
      </c>
      <c r="H105" s="16">
        <v>3</v>
      </c>
      <c r="I105" t="s">
        <v>53</v>
      </c>
      <c r="J105" s="16">
        <v>3</v>
      </c>
    </row>
    <row r="106" spans="1:10">
      <c r="A106" t="s">
        <v>1192</v>
      </c>
      <c r="B106" s="15">
        <v>46135</v>
      </c>
      <c r="C106" t="s">
        <v>1080</v>
      </c>
      <c r="D106" t="s">
        <v>180</v>
      </c>
      <c r="E106" t="s">
        <v>37</v>
      </c>
      <c r="F106" t="s">
        <v>1086</v>
      </c>
      <c r="G106" t="s">
        <v>1091</v>
      </c>
      <c r="H106" s="16">
        <v>5</v>
      </c>
      <c r="I106" t="s">
        <v>53</v>
      </c>
      <c r="J106" s="16">
        <v>4</v>
      </c>
    </row>
    <row r="107" spans="1:10">
      <c r="A107" t="s">
        <v>1193</v>
      </c>
      <c r="B107" s="15">
        <v>46125</v>
      </c>
      <c r="C107" t="s">
        <v>1080</v>
      </c>
      <c r="D107" t="s">
        <v>517</v>
      </c>
      <c r="E107" t="s">
        <v>396</v>
      </c>
      <c r="F107" t="s">
        <v>1084</v>
      </c>
      <c r="G107" t="s">
        <v>1082</v>
      </c>
      <c r="H107" s="16">
        <v>1</v>
      </c>
      <c r="I107" t="s">
        <v>53</v>
      </c>
      <c r="J107" s="16">
        <v>3</v>
      </c>
    </row>
    <row r="108" spans="1:10">
      <c r="A108" t="s">
        <v>1194</v>
      </c>
      <c r="B108" s="15">
        <v>46176</v>
      </c>
      <c r="C108" t="s">
        <v>1080</v>
      </c>
      <c r="D108" t="s">
        <v>102</v>
      </c>
      <c r="E108" t="s">
        <v>37</v>
      </c>
      <c r="F108" t="s">
        <v>1081</v>
      </c>
      <c r="G108" t="s">
        <v>1097</v>
      </c>
      <c r="H108" s="16">
        <v>6</v>
      </c>
      <c r="I108" t="s">
        <v>53</v>
      </c>
      <c r="J108" s="16">
        <v>3</v>
      </c>
    </row>
    <row r="109" spans="1:10">
      <c r="A109" t="s">
        <v>1195</v>
      </c>
      <c r="B109" s="15">
        <v>46161</v>
      </c>
      <c r="C109" t="s">
        <v>1080</v>
      </c>
      <c r="D109" t="s">
        <v>452</v>
      </c>
      <c r="E109" t="s">
        <v>396</v>
      </c>
      <c r="F109" t="s">
        <v>1086</v>
      </c>
      <c r="G109" t="s">
        <v>1082</v>
      </c>
      <c r="H109" s="16">
        <v>2</v>
      </c>
      <c r="I109" t="s">
        <v>53</v>
      </c>
      <c r="J109" s="16">
        <v>2</v>
      </c>
    </row>
    <row r="110" spans="1:10">
      <c r="A110" t="s">
        <v>1196</v>
      </c>
      <c r="B110" s="15">
        <v>46155</v>
      </c>
      <c r="C110" t="s">
        <v>1080</v>
      </c>
      <c r="D110" t="s">
        <v>445</v>
      </c>
      <c r="E110" t="s">
        <v>396</v>
      </c>
      <c r="F110" t="s">
        <v>1084</v>
      </c>
      <c r="G110" t="s">
        <v>1097</v>
      </c>
      <c r="H110" s="16">
        <v>5</v>
      </c>
      <c r="I110" t="s">
        <v>53</v>
      </c>
      <c r="J110" s="16">
        <v>5</v>
      </c>
    </row>
    <row r="111" spans="1:10">
      <c r="A111" t="s">
        <v>1197</v>
      </c>
      <c r="B111" s="15">
        <v>46164</v>
      </c>
      <c r="C111" t="s">
        <v>1080</v>
      </c>
      <c r="D111" t="s">
        <v>411</v>
      </c>
      <c r="E111" t="s">
        <v>396</v>
      </c>
      <c r="F111" t="s">
        <v>1084</v>
      </c>
      <c r="G111" t="s">
        <v>1097</v>
      </c>
      <c r="H111" s="16">
        <v>4</v>
      </c>
      <c r="I111" t="s">
        <v>53</v>
      </c>
      <c r="J111" s="16">
        <v>3</v>
      </c>
    </row>
    <row r="112" spans="1:10">
      <c r="A112" t="s">
        <v>1198</v>
      </c>
      <c r="B112" s="15">
        <v>46200</v>
      </c>
      <c r="C112" t="s">
        <v>1080</v>
      </c>
      <c r="D112" t="s">
        <v>196</v>
      </c>
      <c r="E112" t="s">
        <v>37</v>
      </c>
      <c r="F112" t="s">
        <v>1090</v>
      </c>
      <c r="G112" t="s">
        <v>1082</v>
      </c>
      <c r="H112" s="16">
        <v>1</v>
      </c>
      <c r="I112" t="s">
        <v>53</v>
      </c>
      <c r="J112" s="16">
        <v>4</v>
      </c>
    </row>
    <row r="113" spans="1:10">
      <c r="A113" t="s">
        <v>1199</v>
      </c>
      <c r="B113" s="15">
        <v>46139</v>
      </c>
      <c r="C113" t="s">
        <v>1080</v>
      </c>
      <c r="D113" t="s">
        <v>217</v>
      </c>
      <c r="E113" t="s">
        <v>37</v>
      </c>
      <c r="F113" t="s">
        <v>1084</v>
      </c>
      <c r="G113" t="s">
        <v>1093</v>
      </c>
      <c r="H113" s="16">
        <v>2</v>
      </c>
      <c r="I113" t="s">
        <v>53</v>
      </c>
      <c r="J113" s="16">
        <v>3</v>
      </c>
    </row>
    <row r="114" spans="1:10">
      <c r="A114" t="s">
        <v>1200</v>
      </c>
      <c r="B114" s="15">
        <v>46161</v>
      </c>
      <c r="C114" t="s">
        <v>1080</v>
      </c>
      <c r="D114" t="s">
        <v>306</v>
      </c>
      <c r="E114" t="s">
        <v>231</v>
      </c>
      <c r="F114" t="s">
        <v>1081</v>
      </c>
      <c r="G114" t="s">
        <v>1093</v>
      </c>
      <c r="H114" s="16">
        <v>3</v>
      </c>
      <c r="I114" t="s">
        <v>53</v>
      </c>
      <c r="J114" s="16">
        <v>4</v>
      </c>
    </row>
    <row r="115" spans="1:10">
      <c r="A115" t="s">
        <v>1201</v>
      </c>
      <c r="B115" s="15">
        <v>46145</v>
      </c>
      <c r="C115" t="s">
        <v>1080</v>
      </c>
      <c r="D115" t="s">
        <v>388</v>
      </c>
      <c r="E115" t="s">
        <v>231</v>
      </c>
      <c r="F115" t="s">
        <v>1084</v>
      </c>
      <c r="G115" t="s">
        <v>1093</v>
      </c>
      <c r="H115" s="16">
        <v>6</v>
      </c>
      <c r="I115" t="s">
        <v>53</v>
      </c>
      <c r="J115" s="16">
        <v>4</v>
      </c>
    </row>
    <row r="116" spans="1:10">
      <c r="A116" t="s">
        <v>1202</v>
      </c>
      <c r="B116" s="15">
        <v>46197</v>
      </c>
      <c r="C116" t="s">
        <v>1080</v>
      </c>
      <c r="D116" t="s">
        <v>226</v>
      </c>
      <c r="E116" t="s">
        <v>37</v>
      </c>
      <c r="F116" t="s">
        <v>1086</v>
      </c>
      <c r="G116" t="s">
        <v>1091</v>
      </c>
      <c r="H116" s="16">
        <v>3</v>
      </c>
      <c r="I116" t="s">
        <v>53</v>
      </c>
      <c r="J116" s="16">
        <v>3</v>
      </c>
    </row>
    <row r="117" spans="1:10">
      <c r="A117" t="s">
        <v>1203</v>
      </c>
      <c r="B117" s="15">
        <v>46133</v>
      </c>
      <c r="C117" t="s">
        <v>1080</v>
      </c>
      <c r="D117" t="s">
        <v>360</v>
      </c>
      <c r="E117" t="s">
        <v>231</v>
      </c>
      <c r="F117" t="s">
        <v>1084</v>
      </c>
      <c r="G117" t="s">
        <v>1082</v>
      </c>
      <c r="H117" s="16">
        <v>3</v>
      </c>
      <c r="I117" t="s">
        <v>53</v>
      </c>
      <c r="J117" s="16">
        <v>2</v>
      </c>
    </row>
    <row r="118" spans="1:10">
      <c r="A118" t="s">
        <v>1204</v>
      </c>
      <c r="B118" s="15">
        <v>46201</v>
      </c>
      <c r="C118" t="s">
        <v>1080</v>
      </c>
      <c r="D118" t="s">
        <v>151</v>
      </c>
      <c r="E118" t="s">
        <v>37</v>
      </c>
      <c r="F118" t="s">
        <v>1084</v>
      </c>
      <c r="G118" t="s">
        <v>1091</v>
      </c>
      <c r="H118" s="16">
        <v>2</v>
      </c>
      <c r="I118" t="s">
        <v>53</v>
      </c>
      <c r="J118" s="16">
        <v>5</v>
      </c>
    </row>
    <row r="119" spans="1:10">
      <c r="A119" t="s">
        <v>1205</v>
      </c>
      <c r="B119" s="15">
        <v>46146</v>
      </c>
      <c r="C119" t="s">
        <v>1080</v>
      </c>
      <c r="D119" t="s">
        <v>427</v>
      </c>
      <c r="E119" t="s">
        <v>396</v>
      </c>
      <c r="F119" t="s">
        <v>1086</v>
      </c>
      <c r="G119" t="s">
        <v>1082</v>
      </c>
      <c r="H119" s="16">
        <v>3</v>
      </c>
      <c r="I119" t="s">
        <v>53</v>
      </c>
      <c r="J119" s="16">
        <v>4</v>
      </c>
    </row>
    <row r="120" spans="1:10">
      <c r="A120" t="s">
        <v>1206</v>
      </c>
      <c r="B120" s="15">
        <v>46184</v>
      </c>
      <c r="C120" t="s">
        <v>1080</v>
      </c>
      <c r="D120" t="s">
        <v>527</v>
      </c>
      <c r="E120" t="s">
        <v>396</v>
      </c>
      <c r="F120" t="s">
        <v>1086</v>
      </c>
      <c r="G120" t="s">
        <v>1093</v>
      </c>
      <c r="H120" s="16">
        <v>1</v>
      </c>
      <c r="I120" t="s">
        <v>53</v>
      </c>
      <c r="J120" s="16">
        <v>2</v>
      </c>
    </row>
    <row r="121" spans="1:10">
      <c r="A121" t="s">
        <v>1207</v>
      </c>
      <c r="B121" s="15">
        <v>46173</v>
      </c>
      <c r="C121" t="s">
        <v>1080</v>
      </c>
      <c r="D121" t="s">
        <v>522</v>
      </c>
      <c r="E121" t="s">
        <v>396</v>
      </c>
      <c r="F121" t="s">
        <v>1090</v>
      </c>
      <c r="G121" t="s">
        <v>1082</v>
      </c>
      <c r="H121" s="16">
        <v>6</v>
      </c>
      <c r="I121" t="s">
        <v>53</v>
      </c>
      <c r="J121" s="16">
        <v>2</v>
      </c>
    </row>
    <row r="122" spans="1:10">
      <c r="A122" t="s">
        <v>1208</v>
      </c>
      <c r="B122" s="15">
        <v>46121</v>
      </c>
      <c r="C122" t="s">
        <v>1080</v>
      </c>
      <c r="D122" t="s">
        <v>111</v>
      </c>
      <c r="E122" t="s">
        <v>37</v>
      </c>
      <c r="F122" t="s">
        <v>1086</v>
      </c>
      <c r="G122" t="s">
        <v>1091</v>
      </c>
      <c r="H122" s="16">
        <v>4</v>
      </c>
      <c r="I122" t="s">
        <v>53</v>
      </c>
      <c r="J122" s="16">
        <v>5</v>
      </c>
    </row>
    <row r="123" spans="1:10">
      <c r="A123" t="s">
        <v>1209</v>
      </c>
      <c r="B123" s="15">
        <v>46131</v>
      </c>
      <c r="C123" t="s">
        <v>1080</v>
      </c>
      <c r="D123" t="s">
        <v>163</v>
      </c>
      <c r="E123" t="s">
        <v>37</v>
      </c>
      <c r="F123" t="s">
        <v>1084</v>
      </c>
      <c r="G123" t="s">
        <v>1082</v>
      </c>
      <c r="H123" s="16">
        <v>7</v>
      </c>
      <c r="I123" t="s">
        <v>53</v>
      </c>
      <c r="J123" s="16">
        <v>5</v>
      </c>
    </row>
    <row r="124" spans="1:10">
      <c r="A124" t="s">
        <v>1210</v>
      </c>
      <c r="B124" s="15">
        <v>46139</v>
      </c>
      <c r="C124" t="s">
        <v>1080</v>
      </c>
      <c r="D124" t="s">
        <v>316</v>
      </c>
      <c r="E124" t="s">
        <v>231</v>
      </c>
      <c r="F124" t="s">
        <v>1086</v>
      </c>
      <c r="G124" t="s">
        <v>1082</v>
      </c>
      <c r="H124" s="16">
        <v>8</v>
      </c>
      <c r="I124" t="s">
        <v>53</v>
      </c>
      <c r="J124" s="16">
        <v>3</v>
      </c>
    </row>
    <row r="125" spans="1:10">
      <c r="A125" t="s">
        <v>1211</v>
      </c>
      <c r="B125" s="15">
        <v>46156</v>
      </c>
      <c r="C125" t="s">
        <v>1080</v>
      </c>
      <c r="D125" t="s">
        <v>299</v>
      </c>
      <c r="E125" t="s">
        <v>231</v>
      </c>
      <c r="F125" t="s">
        <v>1090</v>
      </c>
      <c r="G125" t="s">
        <v>1091</v>
      </c>
      <c r="H125" s="16">
        <v>5</v>
      </c>
      <c r="I125" t="s">
        <v>53</v>
      </c>
      <c r="J125" s="16">
        <v>3</v>
      </c>
    </row>
    <row r="126" spans="1:10">
      <c r="A126" t="s">
        <v>1212</v>
      </c>
      <c r="B126" s="15">
        <v>46161</v>
      </c>
      <c r="C126" t="s">
        <v>1080</v>
      </c>
      <c r="D126" t="s">
        <v>89</v>
      </c>
      <c r="E126" t="s">
        <v>37</v>
      </c>
      <c r="F126" t="s">
        <v>1086</v>
      </c>
      <c r="G126" t="s">
        <v>1097</v>
      </c>
      <c r="H126" s="16">
        <v>3</v>
      </c>
      <c r="I126" t="s">
        <v>53</v>
      </c>
      <c r="J126" s="16">
        <v>4</v>
      </c>
    </row>
    <row r="127" spans="1:10">
      <c r="A127" t="s">
        <v>1213</v>
      </c>
      <c r="B127" s="15">
        <v>46136</v>
      </c>
      <c r="C127" t="s">
        <v>1080</v>
      </c>
      <c r="D127" t="s">
        <v>210</v>
      </c>
      <c r="E127" t="s">
        <v>37</v>
      </c>
      <c r="F127" t="s">
        <v>1086</v>
      </c>
      <c r="G127" t="s">
        <v>1097</v>
      </c>
      <c r="H127" s="16">
        <v>4</v>
      </c>
      <c r="I127" t="s">
        <v>53</v>
      </c>
      <c r="J127" s="16">
        <v>3</v>
      </c>
    </row>
    <row r="128" spans="1:10">
      <c r="A128" t="s">
        <v>1214</v>
      </c>
      <c r="B128" s="15">
        <v>46144</v>
      </c>
      <c r="C128" t="s">
        <v>1080</v>
      </c>
      <c r="D128" t="s">
        <v>535</v>
      </c>
      <c r="E128" t="s">
        <v>396</v>
      </c>
      <c r="F128" t="s">
        <v>1086</v>
      </c>
      <c r="G128" t="s">
        <v>1082</v>
      </c>
      <c r="H128" s="16">
        <v>2</v>
      </c>
      <c r="I128" t="s">
        <v>53</v>
      </c>
      <c r="J128" s="16">
        <v>2</v>
      </c>
    </row>
    <row r="129" spans="1:10">
      <c r="A129" t="s">
        <v>1215</v>
      </c>
      <c r="B129" s="15">
        <v>46153</v>
      </c>
      <c r="C129" t="s">
        <v>1080</v>
      </c>
      <c r="D129" t="s">
        <v>414</v>
      </c>
      <c r="E129" t="s">
        <v>396</v>
      </c>
      <c r="F129" t="s">
        <v>1081</v>
      </c>
      <c r="G129" t="s">
        <v>1082</v>
      </c>
      <c r="H129" s="16">
        <v>2</v>
      </c>
      <c r="I129" t="s">
        <v>53</v>
      </c>
      <c r="J129" s="16">
        <v>4</v>
      </c>
    </row>
    <row r="130" spans="1:10">
      <c r="A130" t="s">
        <v>1216</v>
      </c>
      <c r="B130" s="15">
        <v>46134</v>
      </c>
      <c r="C130" t="s">
        <v>1080</v>
      </c>
      <c r="D130" t="s">
        <v>132</v>
      </c>
      <c r="E130" t="s">
        <v>37</v>
      </c>
      <c r="F130" t="s">
        <v>1081</v>
      </c>
      <c r="G130" t="s">
        <v>1091</v>
      </c>
      <c r="H130" s="16">
        <v>5</v>
      </c>
      <c r="I130" t="s">
        <v>53</v>
      </c>
      <c r="J130" s="16">
        <v>5</v>
      </c>
    </row>
    <row r="131" spans="1:10">
      <c r="A131" t="s">
        <v>1217</v>
      </c>
      <c r="B131" s="15">
        <v>46200</v>
      </c>
      <c r="C131" t="s">
        <v>1080</v>
      </c>
      <c r="D131" t="s">
        <v>109</v>
      </c>
      <c r="E131" t="s">
        <v>37</v>
      </c>
      <c r="F131" t="s">
        <v>1081</v>
      </c>
      <c r="G131" t="s">
        <v>1082</v>
      </c>
      <c r="H131" s="16">
        <v>4</v>
      </c>
      <c r="I131" t="s">
        <v>53</v>
      </c>
      <c r="J131" s="16">
        <v>2</v>
      </c>
    </row>
    <row r="132" spans="1:10">
      <c r="A132" t="s">
        <v>1218</v>
      </c>
      <c r="B132" s="15">
        <v>46128</v>
      </c>
      <c r="C132" t="s">
        <v>1080</v>
      </c>
      <c r="D132" t="s">
        <v>457</v>
      </c>
      <c r="E132" t="s">
        <v>396</v>
      </c>
      <c r="F132" t="s">
        <v>1081</v>
      </c>
      <c r="G132" t="s">
        <v>1091</v>
      </c>
      <c r="H132" s="16">
        <v>4</v>
      </c>
      <c r="I132" t="s">
        <v>53</v>
      </c>
      <c r="J132" s="16">
        <v>4</v>
      </c>
    </row>
    <row r="133" spans="1:10">
      <c r="A133" t="s">
        <v>1219</v>
      </c>
      <c r="B133" s="15">
        <v>46122</v>
      </c>
      <c r="C133" t="s">
        <v>1080</v>
      </c>
      <c r="D133" t="s">
        <v>405</v>
      </c>
      <c r="E133" t="s">
        <v>396</v>
      </c>
      <c r="F133" t="s">
        <v>1086</v>
      </c>
      <c r="G133" t="s">
        <v>1093</v>
      </c>
      <c r="H133" s="16">
        <v>4</v>
      </c>
      <c r="I133" t="s">
        <v>53</v>
      </c>
      <c r="J133" s="16">
        <v>4</v>
      </c>
    </row>
    <row r="134" spans="1:10">
      <c r="A134" t="s">
        <v>1220</v>
      </c>
      <c r="B134" s="15">
        <v>46200</v>
      </c>
      <c r="C134" t="s">
        <v>1080</v>
      </c>
      <c r="D134" t="s">
        <v>207</v>
      </c>
      <c r="E134" t="s">
        <v>37</v>
      </c>
      <c r="F134" t="s">
        <v>1090</v>
      </c>
      <c r="G134" t="s">
        <v>1093</v>
      </c>
      <c r="H134" s="16">
        <v>7</v>
      </c>
      <c r="I134" t="s">
        <v>53</v>
      </c>
      <c r="J134" s="16">
        <v>3</v>
      </c>
    </row>
    <row r="135" spans="1:10">
      <c r="A135" t="s">
        <v>1221</v>
      </c>
      <c r="B135" s="15">
        <v>46200</v>
      </c>
      <c r="C135" t="s">
        <v>1080</v>
      </c>
      <c r="D135" t="s">
        <v>360</v>
      </c>
      <c r="E135" t="s">
        <v>231</v>
      </c>
      <c r="F135" t="s">
        <v>1090</v>
      </c>
      <c r="G135" t="s">
        <v>1082</v>
      </c>
      <c r="H135" s="16">
        <v>1</v>
      </c>
      <c r="I135" t="s">
        <v>41</v>
      </c>
      <c r="J135" s="16">
        <v>3</v>
      </c>
    </row>
    <row r="136" spans="1:10">
      <c r="A136" t="s">
        <v>1222</v>
      </c>
      <c r="B136" s="15">
        <v>46171</v>
      </c>
      <c r="C136" t="s">
        <v>1080</v>
      </c>
      <c r="D136" t="s">
        <v>537</v>
      </c>
      <c r="E136" t="s">
        <v>396</v>
      </c>
      <c r="F136" t="s">
        <v>1090</v>
      </c>
      <c r="G136" t="s">
        <v>1093</v>
      </c>
      <c r="H136" s="16">
        <v>1</v>
      </c>
      <c r="I136" t="s">
        <v>53</v>
      </c>
      <c r="J136" s="16">
        <v>3</v>
      </c>
    </row>
    <row r="137" spans="1:10">
      <c r="A137" t="s">
        <v>1223</v>
      </c>
      <c r="B137" s="15">
        <v>46194</v>
      </c>
      <c r="C137" t="s">
        <v>1080</v>
      </c>
      <c r="D137" t="s">
        <v>94</v>
      </c>
      <c r="E137" t="s">
        <v>37</v>
      </c>
      <c r="F137" t="s">
        <v>1081</v>
      </c>
      <c r="G137" t="s">
        <v>1093</v>
      </c>
      <c r="H137" s="16">
        <v>8</v>
      </c>
      <c r="I137" t="s">
        <v>53</v>
      </c>
      <c r="J137" s="16">
        <v>3</v>
      </c>
    </row>
    <row r="138" spans="1:10">
      <c r="A138" t="s">
        <v>1224</v>
      </c>
      <c r="B138" s="15">
        <v>46115</v>
      </c>
      <c r="C138" t="s">
        <v>1080</v>
      </c>
      <c r="D138" t="s">
        <v>160</v>
      </c>
      <c r="E138" t="s">
        <v>37</v>
      </c>
      <c r="F138" t="s">
        <v>1081</v>
      </c>
      <c r="G138" t="s">
        <v>1097</v>
      </c>
      <c r="H138" s="16">
        <v>2</v>
      </c>
      <c r="I138" t="s">
        <v>53</v>
      </c>
      <c r="J138" s="16">
        <v>5</v>
      </c>
    </row>
    <row r="139" spans="1:10">
      <c r="A139" t="s">
        <v>1225</v>
      </c>
      <c r="B139" s="15">
        <v>46165</v>
      </c>
      <c r="C139" t="s">
        <v>1080</v>
      </c>
      <c r="D139" t="s">
        <v>538</v>
      </c>
      <c r="E139" t="s">
        <v>396</v>
      </c>
      <c r="F139" t="s">
        <v>1086</v>
      </c>
      <c r="G139" t="s">
        <v>1093</v>
      </c>
      <c r="H139" s="16">
        <v>4</v>
      </c>
      <c r="I139" t="s">
        <v>53</v>
      </c>
      <c r="J139" s="16">
        <v>4</v>
      </c>
    </row>
    <row r="140" spans="1:10">
      <c r="A140" t="s">
        <v>1226</v>
      </c>
      <c r="B140" s="15">
        <v>46164</v>
      </c>
      <c r="C140" t="s">
        <v>1080</v>
      </c>
      <c r="D140" t="s">
        <v>342</v>
      </c>
      <c r="E140" t="s">
        <v>231</v>
      </c>
      <c r="F140" t="s">
        <v>1086</v>
      </c>
      <c r="G140" t="s">
        <v>1093</v>
      </c>
      <c r="H140" s="16">
        <v>4</v>
      </c>
      <c r="I140" t="s">
        <v>53</v>
      </c>
      <c r="J140" s="16">
        <v>3</v>
      </c>
    </row>
    <row r="141" spans="1:10">
      <c r="A141" t="s">
        <v>1227</v>
      </c>
      <c r="B141" s="15">
        <v>46169</v>
      </c>
      <c r="C141" t="s">
        <v>1080</v>
      </c>
      <c r="D141" t="s">
        <v>149</v>
      </c>
      <c r="E141" t="s">
        <v>37</v>
      </c>
      <c r="F141" t="s">
        <v>1090</v>
      </c>
      <c r="G141" t="s">
        <v>1093</v>
      </c>
      <c r="H141" s="16">
        <v>3</v>
      </c>
      <c r="I141" t="s">
        <v>53</v>
      </c>
      <c r="J141" s="16">
        <v>4</v>
      </c>
    </row>
    <row r="142" spans="1:10">
      <c r="A142" t="s">
        <v>1228</v>
      </c>
      <c r="B142" s="15">
        <v>46139</v>
      </c>
      <c r="C142" t="s">
        <v>1080</v>
      </c>
      <c r="D142" t="s">
        <v>297</v>
      </c>
      <c r="E142" t="s">
        <v>231</v>
      </c>
      <c r="F142" t="s">
        <v>1084</v>
      </c>
      <c r="G142" t="s">
        <v>1082</v>
      </c>
      <c r="H142" s="16">
        <v>2</v>
      </c>
      <c r="I142" t="s">
        <v>53</v>
      </c>
      <c r="J142" s="16">
        <v>4</v>
      </c>
    </row>
    <row r="143" spans="1:10">
      <c r="A143" t="s">
        <v>1229</v>
      </c>
      <c r="B143" s="15">
        <v>46197</v>
      </c>
      <c r="C143" t="s">
        <v>1080</v>
      </c>
      <c r="D143" t="s">
        <v>493</v>
      </c>
      <c r="E143" t="s">
        <v>396</v>
      </c>
      <c r="F143" t="s">
        <v>1090</v>
      </c>
      <c r="G143" t="s">
        <v>1082</v>
      </c>
      <c r="H143" s="16">
        <v>6</v>
      </c>
      <c r="I143" t="s">
        <v>53</v>
      </c>
      <c r="J143" s="16">
        <v>3</v>
      </c>
    </row>
    <row r="144" spans="1:10">
      <c r="A144" t="s">
        <v>1230</v>
      </c>
      <c r="B144" s="15">
        <v>46152</v>
      </c>
      <c r="C144" t="s">
        <v>1080</v>
      </c>
      <c r="D144" t="s">
        <v>289</v>
      </c>
      <c r="E144" t="s">
        <v>231</v>
      </c>
      <c r="F144" t="s">
        <v>1086</v>
      </c>
      <c r="G144" t="s">
        <v>1097</v>
      </c>
      <c r="H144" s="16">
        <v>1</v>
      </c>
      <c r="I144" t="s">
        <v>53</v>
      </c>
      <c r="J144" s="16">
        <v>5</v>
      </c>
    </row>
    <row r="145" spans="1:10">
      <c r="A145" t="s">
        <v>1231</v>
      </c>
      <c r="B145" s="15">
        <v>46196</v>
      </c>
      <c r="C145" t="s">
        <v>1080</v>
      </c>
      <c r="D145" t="s">
        <v>165</v>
      </c>
      <c r="E145" t="s">
        <v>37</v>
      </c>
      <c r="F145" t="s">
        <v>1084</v>
      </c>
      <c r="G145" t="s">
        <v>1082</v>
      </c>
      <c r="H145" s="16">
        <v>3</v>
      </c>
      <c r="I145" t="s">
        <v>53</v>
      </c>
      <c r="J145" s="16">
        <v>4</v>
      </c>
    </row>
    <row r="146" spans="1:10">
      <c r="A146" t="s">
        <v>1232</v>
      </c>
      <c r="B146" s="15">
        <v>46138</v>
      </c>
      <c r="C146" t="s">
        <v>1080</v>
      </c>
      <c r="D146" t="s">
        <v>105</v>
      </c>
      <c r="E146" t="s">
        <v>37</v>
      </c>
      <c r="F146" t="s">
        <v>1090</v>
      </c>
      <c r="G146" t="s">
        <v>1082</v>
      </c>
      <c r="H146" s="16">
        <v>5</v>
      </c>
      <c r="I146" t="s">
        <v>53</v>
      </c>
      <c r="J146" s="16">
        <v>2</v>
      </c>
    </row>
    <row r="147" spans="1:10">
      <c r="A147" t="s">
        <v>1233</v>
      </c>
      <c r="B147" s="15">
        <v>46162</v>
      </c>
      <c r="C147" t="s">
        <v>1080</v>
      </c>
      <c r="D147" t="s">
        <v>182</v>
      </c>
      <c r="E147" t="s">
        <v>37</v>
      </c>
      <c r="F147" t="s">
        <v>1081</v>
      </c>
      <c r="G147" t="s">
        <v>1082</v>
      </c>
      <c r="H147" s="16">
        <v>1</v>
      </c>
      <c r="I147" t="s">
        <v>53</v>
      </c>
      <c r="J147" s="16">
        <v>5</v>
      </c>
    </row>
    <row r="148" spans="1:10">
      <c r="A148" t="s">
        <v>1234</v>
      </c>
      <c r="B148" s="15">
        <v>46198</v>
      </c>
      <c r="C148" t="s">
        <v>1080</v>
      </c>
      <c r="D148" t="s">
        <v>444</v>
      </c>
      <c r="E148" t="s">
        <v>396</v>
      </c>
      <c r="F148" t="s">
        <v>1086</v>
      </c>
      <c r="G148" t="s">
        <v>1082</v>
      </c>
      <c r="H148" s="16">
        <v>4</v>
      </c>
      <c r="I148" t="s">
        <v>53</v>
      </c>
      <c r="J148" s="16">
        <v>4</v>
      </c>
    </row>
    <row r="149" spans="1:10">
      <c r="A149" t="s">
        <v>1235</v>
      </c>
      <c r="B149" s="15">
        <v>46132</v>
      </c>
      <c r="C149" t="s">
        <v>1080</v>
      </c>
      <c r="D149" t="s">
        <v>214</v>
      </c>
      <c r="E149" t="s">
        <v>37</v>
      </c>
      <c r="F149" t="s">
        <v>1081</v>
      </c>
      <c r="G149" t="s">
        <v>1082</v>
      </c>
      <c r="H149" s="16">
        <v>3</v>
      </c>
      <c r="I149" t="s">
        <v>53</v>
      </c>
      <c r="J149" s="16">
        <v>4</v>
      </c>
    </row>
    <row r="150" spans="1:10">
      <c r="A150" t="s">
        <v>1236</v>
      </c>
      <c r="B150" s="15">
        <v>46144</v>
      </c>
      <c r="C150" t="s">
        <v>1080</v>
      </c>
      <c r="D150" t="s">
        <v>83</v>
      </c>
      <c r="E150" t="s">
        <v>37</v>
      </c>
      <c r="F150" t="s">
        <v>1090</v>
      </c>
      <c r="G150" t="s">
        <v>1082</v>
      </c>
      <c r="H150" s="16">
        <v>4</v>
      </c>
      <c r="I150" t="s">
        <v>53</v>
      </c>
      <c r="J150" s="16">
        <v>4</v>
      </c>
    </row>
    <row r="151" spans="1:10">
      <c r="A151" t="s">
        <v>1237</v>
      </c>
      <c r="B151" s="15">
        <v>46191</v>
      </c>
      <c r="C151" t="s">
        <v>1080</v>
      </c>
      <c r="D151" t="s">
        <v>535</v>
      </c>
      <c r="E151" t="s">
        <v>396</v>
      </c>
      <c r="F151" t="s">
        <v>1081</v>
      </c>
      <c r="G151" t="s">
        <v>1093</v>
      </c>
      <c r="H151" s="16">
        <v>2</v>
      </c>
      <c r="I151" t="s">
        <v>53</v>
      </c>
      <c r="J151" s="16">
        <v>4</v>
      </c>
    </row>
    <row r="152" spans="1:10">
      <c r="A152" t="s">
        <v>1238</v>
      </c>
      <c r="B152" s="15">
        <v>46115</v>
      </c>
      <c r="C152" t="s">
        <v>1080</v>
      </c>
      <c r="D152" t="s">
        <v>400</v>
      </c>
      <c r="E152" t="s">
        <v>396</v>
      </c>
      <c r="F152" t="s">
        <v>1090</v>
      </c>
      <c r="G152" t="s">
        <v>1093</v>
      </c>
      <c r="H152" s="16">
        <v>5</v>
      </c>
      <c r="I152" t="s">
        <v>53</v>
      </c>
      <c r="J152" s="16">
        <v>2</v>
      </c>
    </row>
    <row r="153" spans="1:10">
      <c r="A153" t="s">
        <v>1239</v>
      </c>
      <c r="B153" s="15">
        <v>46124</v>
      </c>
      <c r="C153" t="s">
        <v>1080</v>
      </c>
      <c r="D153" t="s">
        <v>480</v>
      </c>
      <c r="E153" t="s">
        <v>396</v>
      </c>
      <c r="F153" t="s">
        <v>1081</v>
      </c>
      <c r="G153" t="s">
        <v>1097</v>
      </c>
      <c r="H153" s="16">
        <v>2</v>
      </c>
      <c r="I153" t="s">
        <v>53</v>
      </c>
      <c r="J153" s="16">
        <v>3</v>
      </c>
    </row>
    <row r="154" spans="1:10">
      <c r="A154" t="s">
        <v>1240</v>
      </c>
      <c r="B154" s="15">
        <v>46121</v>
      </c>
      <c r="C154" t="s">
        <v>1080</v>
      </c>
      <c r="D154" t="s">
        <v>142</v>
      </c>
      <c r="E154" t="s">
        <v>37</v>
      </c>
      <c r="F154" t="s">
        <v>1086</v>
      </c>
      <c r="G154" t="s">
        <v>1097</v>
      </c>
      <c r="H154" s="16">
        <v>2</v>
      </c>
      <c r="I154" t="s">
        <v>41</v>
      </c>
      <c r="J154" s="16">
        <v>3</v>
      </c>
    </row>
    <row r="155" spans="1:10">
      <c r="A155" t="s">
        <v>1241</v>
      </c>
      <c r="B155" s="15">
        <v>46173</v>
      </c>
      <c r="C155" t="s">
        <v>1080</v>
      </c>
      <c r="D155" t="s">
        <v>136</v>
      </c>
      <c r="E155" t="s">
        <v>37</v>
      </c>
      <c r="F155" t="s">
        <v>1081</v>
      </c>
      <c r="G155" t="s">
        <v>1093</v>
      </c>
      <c r="H155" s="16">
        <v>6</v>
      </c>
      <c r="I155" t="s">
        <v>53</v>
      </c>
      <c r="J155" s="16">
        <v>4</v>
      </c>
    </row>
    <row r="156" spans="1:10">
      <c r="A156" t="s">
        <v>1242</v>
      </c>
      <c r="B156" s="15">
        <v>46133</v>
      </c>
      <c r="C156" t="s">
        <v>1080</v>
      </c>
      <c r="D156" t="s">
        <v>341</v>
      </c>
      <c r="E156" t="s">
        <v>231</v>
      </c>
      <c r="F156" t="s">
        <v>1086</v>
      </c>
      <c r="G156" t="s">
        <v>1093</v>
      </c>
      <c r="H156" s="16">
        <v>3</v>
      </c>
      <c r="I156" t="s">
        <v>53</v>
      </c>
      <c r="J156" s="16">
        <v>3</v>
      </c>
    </row>
    <row r="157" spans="1:10">
      <c r="A157" t="s">
        <v>1243</v>
      </c>
      <c r="B157" s="15">
        <v>46133</v>
      </c>
      <c r="C157" t="s">
        <v>1080</v>
      </c>
      <c r="D157" t="s">
        <v>378</v>
      </c>
      <c r="E157" t="s">
        <v>231</v>
      </c>
      <c r="F157" t="s">
        <v>1084</v>
      </c>
      <c r="G157" t="s">
        <v>1091</v>
      </c>
      <c r="H157" s="16">
        <v>4</v>
      </c>
      <c r="I157" t="s">
        <v>41</v>
      </c>
      <c r="J157" s="16">
        <v>4</v>
      </c>
    </row>
    <row r="158" spans="1:10">
      <c r="A158" t="s">
        <v>1244</v>
      </c>
      <c r="B158" s="15">
        <v>46127</v>
      </c>
      <c r="C158" t="s">
        <v>1080</v>
      </c>
      <c r="D158" t="s">
        <v>272</v>
      </c>
      <c r="E158" t="s">
        <v>231</v>
      </c>
      <c r="F158" t="s">
        <v>1084</v>
      </c>
      <c r="G158" t="s">
        <v>1082</v>
      </c>
      <c r="H158" s="16">
        <v>1</v>
      </c>
      <c r="I158" t="s">
        <v>53</v>
      </c>
      <c r="J158" s="16">
        <v>3</v>
      </c>
    </row>
    <row r="159" spans="1:10">
      <c r="A159" t="s">
        <v>1245</v>
      </c>
      <c r="B159" s="15">
        <v>46130</v>
      </c>
      <c r="C159" t="s">
        <v>1080</v>
      </c>
      <c r="D159" t="s">
        <v>332</v>
      </c>
      <c r="E159" t="s">
        <v>231</v>
      </c>
      <c r="F159" t="s">
        <v>1086</v>
      </c>
      <c r="G159" t="s">
        <v>1097</v>
      </c>
      <c r="H159" s="16">
        <v>4</v>
      </c>
      <c r="I159" t="s">
        <v>53</v>
      </c>
      <c r="J159" s="16">
        <v>2</v>
      </c>
    </row>
    <row r="160" spans="1:10">
      <c r="A160" t="s">
        <v>1246</v>
      </c>
      <c r="B160" s="15">
        <v>46169</v>
      </c>
      <c r="C160" t="s">
        <v>1080</v>
      </c>
      <c r="D160" t="s">
        <v>199</v>
      </c>
      <c r="E160" t="s">
        <v>37</v>
      </c>
      <c r="F160" t="s">
        <v>1086</v>
      </c>
      <c r="G160" t="s">
        <v>1082</v>
      </c>
      <c r="H160" s="16">
        <v>1</v>
      </c>
      <c r="I160" t="s">
        <v>53</v>
      </c>
      <c r="J160" s="16">
        <v>3</v>
      </c>
    </row>
    <row r="161" spans="1:10">
      <c r="A161" t="s">
        <v>1247</v>
      </c>
      <c r="B161" s="15">
        <v>46175</v>
      </c>
      <c r="C161" t="s">
        <v>1080</v>
      </c>
      <c r="D161" t="s">
        <v>488</v>
      </c>
      <c r="E161" t="s">
        <v>396</v>
      </c>
      <c r="F161" t="s">
        <v>1086</v>
      </c>
      <c r="G161" t="s">
        <v>1082</v>
      </c>
      <c r="H161" s="16">
        <v>4</v>
      </c>
      <c r="I161" t="s">
        <v>53</v>
      </c>
      <c r="J161" s="16">
        <v>2</v>
      </c>
    </row>
    <row r="162" spans="1:10">
      <c r="A162" t="s">
        <v>1248</v>
      </c>
      <c r="B162" s="15">
        <v>46192</v>
      </c>
      <c r="C162" t="s">
        <v>1080</v>
      </c>
      <c r="D162" t="s">
        <v>476</v>
      </c>
      <c r="E162" t="s">
        <v>396</v>
      </c>
      <c r="F162" t="s">
        <v>1081</v>
      </c>
      <c r="G162" t="s">
        <v>1093</v>
      </c>
      <c r="H162" s="16">
        <v>7</v>
      </c>
      <c r="I162" t="s">
        <v>53</v>
      </c>
      <c r="J162" s="16">
        <v>3</v>
      </c>
    </row>
    <row r="163" spans="1:10">
      <c r="A163" t="s">
        <v>1249</v>
      </c>
      <c r="B163" s="15">
        <v>46198</v>
      </c>
      <c r="C163" t="s">
        <v>1080</v>
      </c>
      <c r="D163" t="s">
        <v>450</v>
      </c>
      <c r="E163" t="s">
        <v>396</v>
      </c>
      <c r="F163" t="s">
        <v>1086</v>
      </c>
      <c r="G163" t="s">
        <v>1093</v>
      </c>
      <c r="H163" s="16">
        <v>3</v>
      </c>
      <c r="I163" t="s">
        <v>41</v>
      </c>
      <c r="J163" s="16">
        <v>2</v>
      </c>
    </row>
    <row r="164" spans="1:10">
      <c r="A164" t="s">
        <v>1250</v>
      </c>
      <c r="B164" s="15">
        <v>46158</v>
      </c>
      <c r="C164" t="s">
        <v>1080</v>
      </c>
      <c r="D164" t="s">
        <v>204</v>
      </c>
      <c r="E164" t="s">
        <v>37</v>
      </c>
      <c r="F164" t="s">
        <v>1086</v>
      </c>
      <c r="G164" t="s">
        <v>1097</v>
      </c>
      <c r="H164" s="16">
        <v>2</v>
      </c>
      <c r="I164" t="s">
        <v>41</v>
      </c>
      <c r="J164" s="16">
        <v>2</v>
      </c>
    </row>
    <row r="165" spans="1:10">
      <c r="A165" t="s">
        <v>1251</v>
      </c>
      <c r="B165" s="15">
        <v>46188</v>
      </c>
      <c r="C165" t="s">
        <v>1080</v>
      </c>
      <c r="D165" t="s">
        <v>156</v>
      </c>
      <c r="E165" t="s">
        <v>37</v>
      </c>
      <c r="F165" t="s">
        <v>1084</v>
      </c>
      <c r="G165" t="s">
        <v>1097</v>
      </c>
      <c r="H165" s="16">
        <v>6</v>
      </c>
      <c r="I165" t="s">
        <v>53</v>
      </c>
      <c r="J165" s="16">
        <v>4</v>
      </c>
    </row>
    <row r="166" spans="1:10">
      <c r="A166" t="s">
        <v>1252</v>
      </c>
      <c r="B166" s="15">
        <v>46116</v>
      </c>
      <c r="C166" t="s">
        <v>1080</v>
      </c>
      <c r="D166" t="s">
        <v>525</v>
      </c>
      <c r="E166" t="s">
        <v>396</v>
      </c>
      <c r="F166" t="s">
        <v>1086</v>
      </c>
      <c r="G166" t="s">
        <v>1097</v>
      </c>
      <c r="H166" s="16">
        <v>3</v>
      </c>
      <c r="I166" t="s">
        <v>53</v>
      </c>
      <c r="J166" s="16">
        <v>4</v>
      </c>
    </row>
    <row r="167" spans="1:10">
      <c r="A167" t="s">
        <v>1253</v>
      </c>
      <c r="B167" s="15">
        <v>46143</v>
      </c>
      <c r="C167" t="s">
        <v>1080</v>
      </c>
      <c r="D167" t="s">
        <v>229</v>
      </c>
      <c r="E167" t="s">
        <v>37</v>
      </c>
      <c r="F167" t="s">
        <v>1086</v>
      </c>
      <c r="G167" t="s">
        <v>1082</v>
      </c>
      <c r="H167" s="16">
        <v>5</v>
      </c>
      <c r="I167" t="s">
        <v>53</v>
      </c>
      <c r="J167" s="16">
        <v>5</v>
      </c>
    </row>
    <row r="168" spans="1:10">
      <c r="A168" t="s">
        <v>1254</v>
      </c>
      <c r="B168" s="15">
        <v>46197</v>
      </c>
      <c r="C168" t="s">
        <v>1080</v>
      </c>
      <c r="D168" t="s">
        <v>167</v>
      </c>
      <c r="E168" t="s">
        <v>37</v>
      </c>
      <c r="F168" t="s">
        <v>1081</v>
      </c>
      <c r="G168" t="s">
        <v>1082</v>
      </c>
      <c r="H168" s="16">
        <v>2</v>
      </c>
      <c r="I168" t="s">
        <v>53</v>
      </c>
      <c r="J168" s="16">
        <v>5</v>
      </c>
    </row>
    <row r="169" spans="1:10">
      <c r="A169" t="s">
        <v>1255</v>
      </c>
      <c r="B169" s="15">
        <v>46129</v>
      </c>
      <c r="C169" t="s">
        <v>1080</v>
      </c>
      <c r="D169" t="s">
        <v>209</v>
      </c>
      <c r="E169" t="s">
        <v>37</v>
      </c>
      <c r="F169" t="s">
        <v>1084</v>
      </c>
      <c r="G169" t="s">
        <v>1093</v>
      </c>
      <c r="H169" s="16">
        <v>4</v>
      </c>
      <c r="I169" t="s">
        <v>53</v>
      </c>
      <c r="J169" s="16">
        <v>2</v>
      </c>
    </row>
    <row r="170" spans="1:10">
      <c r="A170" t="s">
        <v>1256</v>
      </c>
      <c r="B170" s="15">
        <v>46161</v>
      </c>
      <c r="C170" t="s">
        <v>1080</v>
      </c>
      <c r="D170" t="s">
        <v>334</v>
      </c>
      <c r="E170" t="s">
        <v>231</v>
      </c>
      <c r="F170" t="s">
        <v>1086</v>
      </c>
      <c r="G170" t="s">
        <v>1091</v>
      </c>
      <c r="H170" s="16">
        <v>2</v>
      </c>
      <c r="I170" t="s">
        <v>53</v>
      </c>
      <c r="J170" s="16">
        <v>4</v>
      </c>
    </row>
    <row r="171" spans="1:10">
      <c r="A171" t="s">
        <v>1257</v>
      </c>
      <c r="B171" s="15">
        <v>46161</v>
      </c>
      <c r="C171" t="s">
        <v>1080</v>
      </c>
      <c r="D171" t="s">
        <v>135</v>
      </c>
      <c r="E171" t="s">
        <v>37</v>
      </c>
      <c r="F171" t="s">
        <v>1081</v>
      </c>
      <c r="G171" t="s">
        <v>1091</v>
      </c>
      <c r="H171" s="16">
        <v>3</v>
      </c>
      <c r="I171" t="s">
        <v>53</v>
      </c>
      <c r="J171" s="16">
        <v>5</v>
      </c>
    </row>
    <row r="172" spans="1:10">
      <c r="A172" t="s">
        <v>1258</v>
      </c>
      <c r="B172" s="15">
        <v>46156</v>
      </c>
      <c r="C172" t="s">
        <v>1080</v>
      </c>
      <c r="D172" t="s">
        <v>268</v>
      </c>
      <c r="E172" t="s">
        <v>231</v>
      </c>
      <c r="F172" t="s">
        <v>1090</v>
      </c>
      <c r="G172" t="s">
        <v>1082</v>
      </c>
      <c r="H172" s="16">
        <v>1</v>
      </c>
      <c r="I172" t="s">
        <v>53</v>
      </c>
      <c r="J172" s="16">
        <v>5</v>
      </c>
    </row>
    <row r="173" spans="1:10">
      <c r="A173" t="s">
        <v>1259</v>
      </c>
      <c r="B173" s="15">
        <v>46137</v>
      </c>
      <c r="C173" t="s">
        <v>1080</v>
      </c>
      <c r="D173" t="s">
        <v>525</v>
      </c>
      <c r="E173" t="s">
        <v>396</v>
      </c>
      <c r="F173" t="s">
        <v>1086</v>
      </c>
      <c r="G173" t="s">
        <v>1097</v>
      </c>
      <c r="H173" s="16">
        <v>3</v>
      </c>
      <c r="I173" t="s">
        <v>53</v>
      </c>
      <c r="J173" s="16">
        <v>4</v>
      </c>
    </row>
    <row r="174" spans="1:10">
      <c r="A174" t="s">
        <v>1260</v>
      </c>
      <c r="B174" s="15">
        <v>46153</v>
      </c>
      <c r="C174" t="s">
        <v>1080</v>
      </c>
      <c r="D174" t="s">
        <v>180</v>
      </c>
      <c r="E174" t="s">
        <v>37</v>
      </c>
      <c r="F174" t="s">
        <v>1086</v>
      </c>
      <c r="G174" t="s">
        <v>1082</v>
      </c>
      <c r="H174" s="16">
        <v>5</v>
      </c>
      <c r="I174" t="s">
        <v>53</v>
      </c>
      <c r="J174" s="16">
        <v>5</v>
      </c>
    </row>
    <row r="175" spans="1:10">
      <c r="A175" t="s">
        <v>1261</v>
      </c>
      <c r="B175" s="15">
        <v>46126</v>
      </c>
      <c r="C175" t="s">
        <v>1080</v>
      </c>
      <c r="D175" t="s">
        <v>462</v>
      </c>
      <c r="E175" t="s">
        <v>396</v>
      </c>
      <c r="F175" t="s">
        <v>1090</v>
      </c>
      <c r="G175" t="s">
        <v>1093</v>
      </c>
      <c r="H175" s="16">
        <v>4</v>
      </c>
      <c r="I175" t="s">
        <v>53</v>
      </c>
      <c r="J175" s="16">
        <v>3</v>
      </c>
    </row>
    <row r="176" spans="1:10">
      <c r="A176" t="s">
        <v>1262</v>
      </c>
      <c r="B176" s="15">
        <v>46122</v>
      </c>
      <c r="C176" t="s">
        <v>1080</v>
      </c>
      <c r="D176" t="s">
        <v>235</v>
      </c>
      <c r="E176" t="s">
        <v>231</v>
      </c>
      <c r="F176" t="s">
        <v>1084</v>
      </c>
      <c r="G176" t="s">
        <v>1091</v>
      </c>
      <c r="H176" s="16">
        <v>3</v>
      </c>
      <c r="I176" t="s">
        <v>53</v>
      </c>
      <c r="J176" s="16">
        <v>2</v>
      </c>
    </row>
    <row r="177" spans="1:10">
      <c r="A177" t="s">
        <v>1263</v>
      </c>
      <c r="B177" s="15">
        <v>46192</v>
      </c>
      <c r="C177" t="s">
        <v>1080</v>
      </c>
      <c r="D177" t="s">
        <v>418</v>
      </c>
      <c r="E177" t="s">
        <v>396</v>
      </c>
      <c r="F177" t="s">
        <v>1086</v>
      </c>
      <c r="G177" t="s">
        <v>1093</v>
      </c>
      <c r="H177" s="16">
        <v>4</v>
      </c>
      <c r="I177" t="s">
        <v>53</v>
      </c>
      <c r="J177" s="16">
        <v>3</v>
      </c>
    </row>
    <row r="178" spans="1:10">
      <c r="A178" t="s">
        <v>1264</v>
      </c>
      <c r="B178" s="15">
        <v>46198</v>
      </c>
      <c r="C178" t="s">
        <v>1080</v>
      </c>
      <c r="D178" t="s">
        <v>427</v>
      </c>
      <c r="E178" t="s">
        <v>396</v>
      </c>
      <c r="F178" t="s">
        <v>1086</v>
      </c>
      <c r="G178" t="s">
        <v>1082</v>
      </c>
      <c r="H178" s="16">
        <v>1</v>
      </c>
      <c r="I178" t="s">
        <v>53</v>
      </c>
      <c r="J178" s="16">
        <v>3</v>
      </c>
    </row>
    <row r="179" spans="1:10">
      <c r="A179" t="s">
        <v>1265</v>
      </c>
      <c r="B179" s="15">
        <v>46138</v>
      </c>
      <c r="C179" t="s">
        <v>1080</v>
      </c>
      <c r="D179" t="s">
        <v>420</v>
      </c>
      <c r="E179" t="s">
        <v>396</v>
      </c>
      <c r="F179" t="s">
        <v>1084</v>
      </c>
      <c r="G179" t="s">
        <v>1093</v>
      </c>
      <c r="H179" s="16">
        <v>1</v>
      </c>
      <c r="I179" t="s">
        <v>53</v>
      </c>
      <c r="J179" s="16">
        <v>3</v>
      </c>
    </row>
    <row r="180" spans="1:10">
      <c r="A180" t="s">
        <v>1266</v>
      </c>
      <c r="B180" s="15">
        <v>46142</v>
      </c>
      <c r="C180" t="s">
        <v>1080</v>
      </c>
      <c r="D180" t="s">
        <v>103</v>
      </c>
      <c r="E180" t="s">
        <v>37</v>
      </c>
      <c r="F180" t="s">
        <v>1086</v>
      </c>
      <c r="G180" t="s">
        <v>1082</v>
      </c>
      <c r="H180" s="16">
        <v>3</v>
      </c>
      <c r="I180" t="s">
        <v>53</v>
      </c>
      <c r="J180" s="16">
        <v>5</v>
      </c>
    </row>
    <row r="181" spans="1:10">
      <c r="A181" t="s">
        <v>1267</v>
      </c>
      <c r="B181" s="15">
        <v>46193</v>
      </c>
      <c r="C181" t="s">
        <v>1080</v>
      </c>
      <c r="D181" t="s">
        <v>185</v>
      </c>
      <c r="E181" t="s">
        <v>37</v>
      </c>
      <c r="F181" t="s">
        <v>1086</v>
      </c>
      <c r="G181" t="s">
        <v>1091</v>
      </c>
      <c r="H181" s="16">
        <v>3</v>
      </c>
      <c r="I181" t="s">
        <v>53</v>
      </c>
      <c r="J181" s="16">
        <v>3</v>
      </c>
    </row>
    <row r="182" spans="1:10">
      <c r="A182" t="s">
        <v>1268</v>
      </c>
      <c r="B182" s="15">
        <v>46136</v>
      </c>
      <c r="C182" t="s">
        <v>1080</v>
      </c>
      <c r="D182" t="s">
        <v>170</v>
      </c>
      <c r="E182" t="s">
        <v>37</v>
      </c>
      <c r="F182" t="s">
        <v>1086</v>
      </c>
      <c r="G182" t="s">
        <v>1082</v>
      </c>
      <c r="H182" s="16">
        <v>5</v>
      </c>
      <c r="I182" t="s">
        <v>53</v>
      </c>
      <c r="J182" s="16">
        <v>5</v>
      </c>
    </row>
    <row r="183" spans="1:10">
      <c r="A183" t="s">
        <v>1269</v>
      </c>
      <c r="B183" s="15">
        <v>46169</v>
      </c>
      <c r="C183" t="s">
        <v>1080</v>
      </c>
      <c r="D183" t="s">
        <v>97</v>
      </c>
      <c r="E183" t="s">
        <v>37</v>
      </c>
      <c r="F183" t="s">
        <v>1084</v>
      </c>
      <c r="G183" t="s">
        <v>1082</v>
      </c>
      <c r="H183" s="16">
        <v>1</v>
      </c>
      <c r="I183" t="s">
        <v>53</v>
      </c>
      <c r="J183" s="16">
        <v>2</v>
      </c>
    </row>
    <row r="184" spans="1:10">
      <c r="A184" t="s">
        <v>1270</v>
      </c>
      <c r="B184" s="15">
        <v>46186</v>
      </c>
      <c r="C184" t="s">
        <v>1080</v>
      </c>
      <c r="D184" t="s">
        <v>448</v>
      </c>
      <c r="E184" t="s">
        <v>396</v>
      </c>
      <c r="F184" t="s">
        <v>1086</v>
      </c>
      <c r="G184" t="s">
        <v>1082</v>
      </c>
      <c r="H184" s="16">
        <v>8</v>
      </c>
      <c r="I184" t="s">
        <v>53</v>
      </c>
      <c r="J184" s="16">
        <v>4</v>
      </c>
    </row>
    <row r="185" spans="1:10">
      <c r="A185" t="s">
        <v>1271</v>
      </c>
      <c r="B185" s="15">
        <v>46137</v>
      </c>
      <c r="C185" t="s">
        <v>1080</v>
      </c>
      <c r="D185" t="s">
        <v>447</v>
      </c>
      <c r="E185" t="s">
        <v>396</v>
      </c>
      <c r="F185" t="s">
        <v>1084</v>
      </c>
      <c r="G185" t="s">
        <v>1093</v>
      </c>
      <c r="H185" s="16">
        <v>6</v>
      </c>
      <c r="I185" t="s">
        <v>53</v>
      </c>
      <c r="J185" s="16">
        <v>2</v>
      </c>
    </row>
    <row r="186" spans="1:10">
      <c r="A186" t="s">
        <v>1272</v>
      </c>
      <c r="B186" s="15">
        <v>46150</v>
      </c>
      <c r="C186" t="s">
        <v>1080</v>
      </c>
      <c r="D186" t="s">
        <v>388</v>
      </c>
      <c r="E186" t="s">
        <v>231</v>
      </c>
      <c r="F186" t="s">
        <v>1084</v>
      </c>
      <c r="G186" t="s">
        <v>1093</v>
      </c>
      <c r="H186" s="16">
        <v>4</v>
      </c>
      <c r="I186" t="s">
        <v>53</v>
      </c>
      <c r="J186" s="16">
        <v>4</v>
      </c>
    </row>
    <row r="187" spans="1:10">
      <c r="A187" t="s">
        <v>1273</v>
      </c>
      <c r="B187" s="15">
        <v>46167</v>
      </c>
      <c r="C187" t="s">
        <v>1080</v>
      </c>
      <c r="D187" t="s">
        <v>464</v>
      </c>
      <c r="E187" t="s">
        <v>396</v>
      </c>
      <c r="F187" t="s">
        <v>1081</v>
      </c>
      <c r="G187" t="s">
        <v>1082</v>
      </c>
      <c r="H187" s="16">
        <v>2</v>
      </c>
      <c r="I187" t="s">
        <v>53</v>
      </c>
      <c r="J187" s="16">
        <v>3</v>
      </c>
    </row>
    <row r="188" spans="1:10">
      <c r="A188" t="s">
        <v>1274</v>
      </c>
      <c r="B188" s="15">
        <v>46145</v>
      </c>
      <c r="C188" t="s">
        <v>1080</v>
      </c>
      <c r="D188" t="s">
        <v>307</v>
      </c>
      <c r="E188" t="s">
        <v>231</v>
      </c>
      <c r="F188" t="s">
        <v>1084</v>
      </c>
      <c r="G188" t="s">
        <v>1093</v>
      </c>
      <c r="H188" s="16">
        <v>3</v>
      </c>
      <c r="I188" t="s">
        <v>53</v>
      </c>
      <c r="J188" s="16">
        <v>5</v>
      </c>
    </row>
    <row r="189" spans="1:10">
      <c r="A189" t="s">
        <v>1275</v>
      </c>
      <c r="B189" s="15">
        <v>46176</v>
      </c>
      <c r="C189" t="s">
        <v>1080</v>
      </c>
      <c r="D189" t="s">
        <v>488</v>
      </c>
      <c r="E189" t="s">
        <v>396</v>
      </c>
      <c r="F189" t="s">
        <v>1086</v>
      </c>
      <c r="G189" t="s">
        <v>1093</v>
      </c>
      <c r="H189" s="16">
        <v>1</v>
      </c>
      <c r="I189" t="s">
        <v>53</v>
      </c>
      <c r="J189" s="16">
        <v>2</v>
      </c>
    </row>
    <row r="190" spans="1:10">
      <c r="A190" t="s">
        <v>1276</v>
      </c>
      <c r="B190" s="15">
        <v>46170</v>
      </c>
      <c r="C190" t="s">
        <v>1080</v>
      </c>
      <c r="D190" t="s">
        <v>401</v>
      </c>
      <c r="E190" t="s">
        <v>396</v>
      </c>
      <c r="F190" t="s">
        <v>1090</v>
      </c>
      <c r="G190" t="s">
        <v>1097</v>
      </c>
      <c r="H190" s="16">
        <v>6</v>
      </c>
      <c r="I190" t="s">
        <v>53</v>
      </c>
      <c r="J190" s="16">
        <v>5</v>
      </c>
    </row>
    <row r="191" spans="1:10">
      <c r="A191" t="s">
        <v>1277</v>
      </c>
      <c r="B191" s="15">
        <v>46188</v>
      </c>
      <c r="C191" t="s">
        <v>1080</v>
      </c>
      <c r="D191" t="s">
        <v>142</v>
      </c>
      <c r="E191" t="s">
        <v>37</v>
      </c>
      <c r="F191" t="s">
        <v>1090</v>
      </c>
      <c r="G191" t="s">
        <v>1097</v>
      </c>
      <c r="H191" s="16">
        <v>5</v>
      </c>
      <c r="I191" t="s">
        <v>53</v>
      </c>
      <c r="J191" s="16">
        <v>3</v>
      </c>
    </row>
    <row r="192" spans="1:10">
      <c r="A192" t="s">
        <v>1278</v>
      </c>
      <c r="B192" s="15">
        <v>46153</v>
      </c>
      <c r="C192" t="s">
        <v>1080</v>
      </c>
      <c r="D192" t="s">
        <v>165</v>
      </c>
      <c r="E192" t="s">
        <v>37</v>
      </c>
      <c r="F192" t="s">
        <v>1081</v>
      </c>
      <c r="G192" t="s">
        <v>1093</v>
      </c>
      <c r="H192" s="16">
        <v>1</v>
      </c>
      <c r="I192" t="s">
        <v>53</v>
      </c>
      <c r="J192" s="16">
        <v>5</v>
      </c>
    </row>
    <row r="193" spans="1:10">
      <c r="A193" t="s">
        <v>1279</v>
      </c>
      <c r="B193" s="15">
        <v>46176</v>
      </c>
      <c r="C193" t="s">
        <v>1080</v>
      </c>
      <c r="D193" t="s">
        <v>476</v>
      </c>
      <c r="E193" t="s">
        <v>396</v>
      </c>
      <c r="F193" t="s">
        <v>1090</v>
      </c>
      <c r="G193" t="s">
        <v>1082</v>
      </c>
      <c r="H193" s="16">
        <v>1</v>
      </c>
      <c r="I193" t="s">
        <v>53</v>
      </c>
      <c r="J193" s="16">
        <v>3</v>
      </c>
    </row>
    <row r="194" spans="1:10">
      <c r="A194" t="s">
        <v>1280</v>
      </c>
      <c r="B194" s="15">
        <v>46134</v>
      </c>
      <c r="C194" t="s">
        <v>1080</v>
      </c>
      <c r="D194" t="s">
        <v>410</v>
      </c>
      <c r="E194" t="s">
        <v>396</v>
      </c>
      <c r="F194" t="s">
        <v>1081</v>
      </c>
      <c r="G194" t="s">
        <v>1093</v>
      </c>
      <c r="H194" s="16">
        <v>1</v>
      </c>
      <c r="I194" t="s">
        <v>53</v>
      </c>
      <c r="J194" s="16">
        <v>4</v>
      </c>
    </row>
    <row r="195" spans="1:10">
      <c r="A195" t="s">
        <v>1281</v>
      </c>
      <c r="B195" s="15">
        <v>46154</v>
      </c>
      <c r="C195" t="s">
        <v>1080</v>
      </c>
      <c r="D195" t="s">
        <v>153</v>
      </c>
      <c r="E195" t="s">
        <v>37</v>
      </c>
      <c r="F195" t="s">
        <v>1090</v>
      </c>
      <c r="G195" t="s">
        <v>1093</v>
      </c>
      <c r="H195" s="16">
        <v>10</v>
      </c>
      <c r="I195" t="s">
        <v>53</v>
      </c>
      <c r="J195" s="16">
        <v>4</v>
      </c>
    </row>
    <row r="196" spans="1:10">
      <c r="A196" t="s">
        <v>1282</v>
      </c>
      <c r="B196" s="15">
        <v>46166</v>
      </c>
      <c r="C196" t="s">
        <v>1080</v>
      </c>
      <c r="D196" t="s">
        <v>406</v>
      </c>
      <c r="E196" t="s">
        <v>396</v>
      </c>
      <c r="F196" t="s">
        <v>1090</v>
      </c>
      <c r="G196" t="s">
        <v>1082</v>
      </c>
      <c r="H196" s="16">
        <v>5</v>
      </c>
      <c r="I196" t="s">
        <v>53</v>
      </c>
      <c r="J196" s="16">
        <v>4</v>
      </c>
    </row>
    <row r="197" spans="1:10">
      <c r="A197" t="s">
        <v>1283</v>
      </c>
      <c r="B197" s="15">
        <v>46193</v>
      </c>
      <c r="C197" t="s">
        <v>1080</v>
      </c>
      <c r="D197" t="s">
        <v>88</v>
      </c>
      <c r="E197" t="s">
        <v>37</v>
      </c>
      <c r="F197" t="s">
        <v>1084</v>
      </c>
      <c r="G197" t="s">
        <v>1093</v>
      </c>
      <c r="H197" s="16">
        <v>2</v>
      </c>
      <c r="I197" t="s">
        <v>53</v>
      </c>
      <c r="J197" s="16">
        <v>4</v>
      </c>
    </row>
    <row r="198" spans="1:10">
      <c r="A198" t="s">
        <v>1284</v>
      </c>
      <c r="B198" s="15">
        <v>46132</v>
      </c>
      <c r="C198" t="s">
        <v>1080</v>
      </c>
      <c r="D198" t="s">
        <v>447</v>
      </c>
      <c r="E198" t="s">
        <v>396</v>
      </c>
      <c r="F198" t="s">
        <v>1086</v>
      </c>
      <c r="G198" t="s">
        <v>1082</v>
      </c>
      <c r="H198" s="16">
        <v>7</v>
      </c>
      <c r="I198" t="s">
        <v>53</v>
      </c>
      <c r="J198" s="16">
        <v>3</v>
      </c>
    </row>
    <row r="199" spans="1:10">
      <c r="A199" t="s">
        <v>1285</v>
      </c>
      <c r="B199" s="15">
        <v>46132</v>
      </c>
      <c r="C199" t="s">
        <v>1080</v>
      </c>
      <c r="D199" t="s">
        <v>304</v>
      </c>
      <c r="E199" t="s">
        <v>231</v>
      </c>
      <c r="F199" t="s">
        <v>1084</v>
      </c>
      <c r="G199" t="s">
        <v>1082</v>
      </c>
      <c r="H199" s="16">
        <v>4</v>
      </c>
      <c r="I199" t="s">
        <v>53</v>
      </c>
      <c r="J199" s="16">
        <v>4</v>
      </c>
    </row>
    <row r="200" spans="1:10">
      <c r="A200" t="s">
        <v>1286</v>
      </c>
      <c r="B200" s="15">
        <v>46148</v>
      </c>
      <c r="C200" t="s">
        <v>1080</v>
      </c>
      <c r="D200" t="s">
        <v>293</v>
      </c>
      <c r="E200" t="s">
        <v>231</v>
      </c>
      <c r="F200" t="s">
        <v>1081</v>
      </c>
      <c r="G200" t="s">
        <v>1082</v>
      </c>
      <c r="H200" s="16">
        <v>5</v>
      </c>
      <c r="I200" t="s">
        <v>53</v>
      </c>
      <c r="J200" s="16">
        <v>4</v>
      </c>
    </row>
    <row r="201" spans="1:10">
      <c r="A201" t="s">
        <v>1287</v>
      </c>
      <c r="B201" s="15">
        <v>46168</v>
      </c>
      <c r="C201" t="s">
        <v>1080</v>
      </c>
      <c r="D201" t="s">
        <v>161</v>
      </c>
      <c r="E201" t="s">
        <v>37</v>
      </c>
      <c r="F201" t="s">
        <v>1081</v>
      </c>
      <c r="G201" t="s">
        <v>1082</v>
      </c>
      <c r="H201" s="16">
        <v>4</v>
      </c>
      <c r="I201" t="s">
        <v>53</v>
      </c>
      <c r="J201" s="16">
        <v>4</v>
      </c>
    </row>
    <row r="202" spans="1:10">
      <c r="A202" t="s">
        <v>1288</v>
      </c>
      <c r="B202" s="15">
        <v>46121</v>
      </c>
      <c r="C202" t="s">
        <v>1080</v>
      </c>
      <c r="D202" t="s">
        <v>132</v>
      </c>
      <c r="E202" t="s">
        <v>37</v>
      </c>
      <c r="F202" t="s">
        <v>1086</v>
      </c>
      <c r="G202" t="s">
        <v>1097</v>
      </c>
      <c r="H202" s="16">
        <v>6</v>
      </c>
      <c r="I202" t="s">
        <v>53</v>
      </c>
      <c r="J202" s="16">
        <v>2</v>
      </c>
    </row>
    <row r="203" spans="1:10">
      <c r="A203" t="s">
        <v>1289</v>
      </c>
      <c r="B203" s="15">
        <v>46143</v>
      </c>
      <c r="C203" t="s">
        <v>1080</v>
      </c>
      <c r="D203" t="s">
        <v>367</v>
      </c>
      <c r="E203" t="s">
        <v>231</v>
      </c>
      <c r="F203" t="s">
        <v>1086</v>
      </c>
      <c r="G203" t="s">
        <v>1093</v>
      </c>
      <c r="H203" s="16">
        <v>8</v>
      </c>
      <c r="I203" t="s">
        <v>53</v>
      </c>
      <c r="J203" s="16">
        <v>3</v>
      </c>
    </row>
    <row r="204" spans="1:10">
      <c r="A204" t="s">
        <v>1290</v>
      </c>
      <c r="B204" s="15">
        <v>46193</v>
      </c>
      <c r="C204" t="s">
        <v>1080</v>
      </c>
      <c r="D204" t="s">
        <v>90</v>
      </c>
      <c r="E204" t="s">
        <v>37</v>
      </c>
      <c r="F204" t="s">
        <v>1086</v>
      </c>
      <c r="G204" t="s">
        <v>1097</v>
      </c>
      <c r="H204" s="16">
        <v>4</v>
      </c>
      <c r="I204" t="s">
        <v>53</v>
      </c>
      <c r="J204" s="16">
        <v>3</v>
      </c>
    </row>
    <row r="205" spans="1:10">
      <c r="A205" t="s">
        <v>1291</v>
      </c>
      <c r="B205" s="15">
        <v>46167</v>
      </c>
      <c r="C205" t="s">
        <v>1080</v>
      </c>
      <c r="D205" t="s">
        <v>431</v>
      </c>
      <c r="E205" t="s">
        <v>396</v>
      </c>
      <c r="F205" t="s">
        <v>1081</v>
      </c>
      <c r="G205" t="s">
        <v>1082</v>
      </c>
      <c r="H205" s="16">
        <v>2</v>
      </c>
      <c r="I205" t="s">
        <v>53</v>
      </c>
      <c r="J205" s="16">
        <v>4</v>
      </c>
    </row>
    <row r="206" spans="1:10">
      <c r="A206" t="s">
        <v>1292</v>
      </c>
      <c r="B206" s="15">
        <v>46129</v>
      </c>
      <c r="C206" t="s">
        <v>1080</v>
      </c>
      <c r="D206" t="s">
        <v>494</v>
      </c>
      <c r="E206" t="s">
        <v>396</v>
      </c>
      <c r="F206" t="s">
        <v>1090</v>
      </c>
      <c r="G206" t="s">
        <v>1082</v>
      </c>
      <c r="H206" s="16">
        <v>2</v>
      </c>
      <c r="I206" t="s">
        <v>53</v>
      </c>
      <c r="J206" s="16">
        <v>5</v>
      </c>
    </row>
    <row r="207" spans="1:10">
      <c r="A207" t="s">
        <v>1293</v>
      </c>
      <c r="B207" s="15">
        <v>46170</v>
      </c>
      <c r="C207" t="s">
        <v>1080</v>
      </c>
      <c r="D207" t="s">
        <v>329</v>
      </c>
      <c r="E207" t="s">
        <v>231</v>
      </c>
      <c r="F207" t="s">
        <v>1086</v>
      </c>
      <c r="G207" t="s">
        <v>1082</v>
      </c>
      <c r="H207" s="16">
        <v>3</v>
      </c>
      <c r="I207" t="s">
        <v>53</v>
      </c>
      <c r="J207" s="16">
        <v>2</v>
      </c>
    </row>
    <row r="208" spans="1:10">
      <c r="A208" t="s">
        <v>1294</v>
      </c>
      <c r="B208" s="15">
        <v>46194</v>
      </c>
      <c r="C208" t="s">
        <v>1080</v>
      </c>
      <c r="D208" t="s">
        <v>356</v>
      </c>
      <c r="E208" t="s">
        <v>231</v>
      </c>
      <c r="F208" t="s">
        <v>1086</v>
      </c>
      <c r="G208" t="s">
        <v>1082</v>
      </c>
      <c r="H208" s="16">
        <v>4</v>
      </c>
      <c r="I208" t="s">
        <v>53</v>
      </c>
      <c r="J208" s="16">
        <v>3</v>
      </c>
    </row>
    <row r="209" spans="1:10">
      <c r="A209" t="s">
        <v>1295</v>
      </c>
      <c r="B209" s="15">
        <v>46155</v>
      </c>
      <c r="C209" t="s">
        <v>1080</v>
      </c>
      <c r="D209" t="s">
        <v>228</v>
      </c>
      <c r="E209" t="s">
        <v>37</v>
      </c>
      <c r="F209" t="s">
        <v>1084</v>
      </c>
      <c r="G209" t="s">
        <v>1093</v>
      </c>
      <c r="H209" s="16">
        <v>5</v>
      </c>
      <c r="I209" t="s">
        <v>53</v>
      </c>
      <c r="J209" s="16">
        <v>4</v>
      </c>
    </row>
    <row r="210" spans="1:10">
      <c r="A210" t="s">
        <v>1296</v>
      </c>
      <c r="B210" s="15">
        <v>46203</v>
      </c>
      <c r="C210" t="s">
        <v>1080</v>
      </c>
      <c r="D210" t="s">
        <v>386</v>
      </c>
      <c r="E210" t="s">
        <v>231</v>
      </c>
      <c r="F210" t="s">
        <v>1081</v>
      </c>
      <c r="G210" t="s">
        <v>1082</v>
      </c>
      <c r="H210" s="16">
        <v>5</v>
      </c>
      <c r="I210" t="s">
        <v>53</v>
      </c>
      <c r="J210" s="16">
        <v>3</v>
      </c>
    </row>
    <row r="211" spans="1:10">
      <c r="A211" t="s">
        <v>1297</v>
      </c>
      <c r="B211" s="15">
        <v>46175</v>
      </c>
      <c r="C211" t="s">
        <v>1080</v>
      </c>
      <c r="D211" t="s">
        <v>379</v>
      </c>
      <c r="E211" t="s">
        <v>231</v>
      </c>
      <c r="F211" t="s">
        <v>1086</v>
      </c>
      <c r="G211" t="s">
        <v>1093</v>
      </c>
      <c r="H211" s="16">
        <v>5</v>
      </c>
      <c r="I211" t="s">
        <v>53</v>
      </c>
      <c r="J211" s="16">
        <v>3</v>
      </c>
    </row>
    <row r="212" spans="1:10">
      <c r="A212" t="s">
        <v>1298</v>
      </c>
      <c r="B212" s="15">
        <v>46192</v>
      </c>
      <c r="C212" t="s">
        <v>1080</v>
      </c>
      <c r="D212" t="s">
        <v>482</v>
      </c>
      <c r="E212" t="s">
        <v>396</v>
      </c>
      <c r="F212" t="s">
        <v>1084</v>
      </c>
      <c r="G212" t="s">
        <v>1082</v>
      </c>
      <c r="H212" s="16">
        <v>6</v>
      </c>
      <c r="I212" t="s">
        <v>53</v>
      </c>
      <c r="J212" s="16">
        <v>3</v>
      </c>
    </row>
    <row r="213" spans="1:10">
      <c r="A213" t="s">
        <v>1299</v>
      </c>
      <c r="B213" s="15">
        <v>46147</v>
      </c>
      <c r="C213" t="s">
        <v>1080</v>
      </c>
      <c r="D213" t="s">
        <v>67</v>
      </c>
      <c r="E213" t="s">
        <v>37</v>
      </c>
      <c r="F213" t="s">
        <v>1084</v>
      </c>
      <c r="G213" t="s">
        <v>1091</v>
      </c>
      <c r="H213" s="16">
        <v>4</v>
      </c>
      <c r="I213" t="s">
        <v>53</v>
      </c>
      <c r="J213" s="16">
        <v>4</v>
      </c>
    </row>
    <row r="214" spans="1:10">
      <c r="A214" t="s">
        <v>1300</v>
      </c>
      <c r="B214" s="15">
        <v>46159</v>
      </c>
      <c r="C214" t="s">
        <v>1080</v>
      </c>
      <c r="D214" t="s">
        <v>65</v>
      </c>
      <c r="E214" t="s">
        <v>37</v>
      </c>
      <c r="F214" t="s">
        <v>1084</v>
      </c>
      <c r="G214" t="s">
        <v>1082</v>
      </c>
      <c r="H214" s="16">
        <v>4</v>
      </c>
      <c r="I214" t="s">
        <v>53</v>
      </c>
      <c r="J214" s="16">
        <v>3</v>
      </c>
    </row>
    <row r="215" spans="1:10">
      <c r="A215" t="s">
        <v>1301</v>
      </c>
      <c r="B215" s="15">
        <v>46154</v>
      </c>
      <c r="C215" t="s">
        <v>1080</v>
      </c>
      <c r="D215" t="s">
        <v>141</v>
      </c>
      <c r="E215" t="s">
        <v>37</v>
      </c>
      <c r="F215" t="s">
        <v>1090</v>
      </c>
      <c r="G215" t="s">
        <v>1082</v>
      </c>
      <c r="H215" s="16">
        <v>1</v>
      </c>
      <c r="I215" t="s">
        <v>53</v>
      </c>
      <c r="J215" s="16">
        <v>2</v>
      </c>
    </row>
    <row r="216" spans="1:10">
      <c r="A216" t="s">
        <v>1302</v>
      </c>
      <c r="B216" s="15">
        <v>46175</v>
      </c>
      <c r="C216" t="s">
        <v>1080</v>
      </c>
      <c r="D216" t="s">
        <v>315</v>
      </c>
      <c r="E216" t="s">
        <v>231</v>
      </c>
      <c r="F216" t="s">
        <v>1084</v>
      </c>
      <c r="G216" t="s">
        <v>1093</v>
      </c>
      <c r="H216" s="16">
        <v>2</v>
      </c>
      <c r="I216" t="s">
        <v>53</v>
      </c>
      <c r="J216" s="16">
        <v>3</v>
      </c>
    </row>
    <row r="217" spans="1:10">
      <c r="A217" t="s">
        <v>1303</v>
      </c>
      <c r="B217" s="15">
        <v>46137</v>
      </c>
      <c r="C217" t="s">
        <v>1080</v>
      </c>
      <c r="D217" t="s">
        <v>202</v>
      </c>
      <c r="E217" t="s">
        <v>37</v>
      </c>
      <c r="F217" t="s">
        <v>1090</v>
      </c>
      <c r="G217" t="s">
        <v>1093</v>
      </c>
      <c r="H217" s="16">
        <v>4</v>
      </c>
      <c r="I217" t="s">
        <v>53</v>
      </c>
      <c r="J217" s="16">
        <v>5</v>
      </c>
    </row>
    <row r="218" spans="1:10">
      <c r="A218" t="s">
        <v>1304</v>
      </c>
      <c r="B218" s="15">
        <v>46177</v>
      </c>
      <c r="C218" t="s">
        <v>1080</v>
      </c>
      <c r="D218" t="s">
        <v>122</v>
      </c>
      <c r="E218" t="s">
        <v>37</v>
      </c>
      <c r="F218" t="s">
        <v>1081</v>
      </c>
      <c r="G218" t="s">
        <v>1093</v>
      </c>
      <c r="H218" s="16">
        <v>3</v>
      </c>
      <c r="I218" t="s">
        <v>53</v>
      </c>
      <c r="J218" s="16">
        <v>4</v>
      </c>
    </row>
    <row r="219" spans="1:10">
      <c r="A219" t="s">
        <v>1305</v>
      </c>
      <c r="B219" s="15">
        <v>46114</v>
      </c>
      <c r="C219" t="s">
        <v>1080</v>
      </c>
      <c r="D219" t="s">
        <v>311</v>
      </c>
      <c r="E219" t="s">
        <v>231</v>
      </c>
      <c r="F219" t="s">
        <v>1081</v>
      </c>
      <c r="G219" t="s">
        <v>1082</v>
      </c>
      <c r="H219" s="16">
        <v>4</v>
      </c>
      <c r="I219" t="s">
        <v>53</v>
      </c>
      <c r="J219" s="16">
        <v>5</v>
      </c>
    </row>
    <row r="220" spans="1:10">
      <c r="A220" t="s">
        <v>1306</v>
      </c>
      <c r="B220" s="15">
        <v>46123</v>
      </c>
      <c r="C220" t="s">
        <v>1080</v>
      </c>
      <c r="D220" t="s">
        <v>144</v>
      </c>
      <c r="E220" t="s">
        <v>37</v>
      </c>
      <c r="F220" t="s">
        <v>1090</v>
      </c>
      <c r="G220" t="s">
        <v>1082</v>
      </c>
      <c r="H220" s="16">
        <v>4</v>
      </c>
      <c r="I220" t="s">
        <v>53</v>
      </c>
      <c r="J220" s="16">
        <v>4</v>
      </c>
    </row>
    <row r="221" spans="1:10">
      <c r="A221" t="s">
        <v>1307</v>
      </c>
      <c r="B221" s="15">
        <v>46170</v>
      </c>
      <c r="C221" t="s">
        <v>1080</v>
      </c>
      <c r="D221" t="s">
        <v>332</v>
      </c>
      <c r="E221" t="s">
        <v>231</v>
      </c>
      <c r="F221" t="s">
        <v>1090</v>
      </c>
      <c r="G221" t="s">
        <v>1082</v>
      </c>
      <c r="H221" s="16">
        <v>4</v>
      </c>
      <c r="I221" t="s">
        <v>53</v>
      </c>
      <c r="J221" s="16">
        <v>3</v>
      </c>
    </row>
    <row r="222" spans="1:10">
      <c r="A222" t="s">
        <v>1308</v>
      </c>
      <c r="B222" s="15">
        <v>46171</v>
      </c>
      <c r="C222" t="s">
        <v>1080</v>
      </c>
      <c r="D222" t="s">
        <v>305</v>
      </c>
      <c r="E222" t="s">
        <v>231</v>
      </c>
      <c r="F222" t="s">
        <v>1086</v>
      </c>
      <c r="G222" t="s">
        <v>1082</v>
      </c>
      <c r="H222" s="16">
        <v>1</v>
      </c>
      <c r="I222" t="s">
        <v>53</v>
      </c>
      <c r="J222" s="16">
        <v>3</v>
      </c>
    </row>
    <row r="223" spans="1:10">
      <c r="A223" t="s">
        <v>1309</v>
      </c>
      <c r="B223" s="15">
        <v>46133</v>
      </c>
      <c r="C223" t="s">
        <v>1080</v>
      </c>
      <c r="D223" t="s">
        <v>385</v>
      </c>
      <c r="E223" t="s">
        <v>231</v>
      </c>
      <c r="F223" t="s">
        <v>1084</v>
      </c>
      <c r="G223" t="s">
        <v>1082</v>
      </c>
      <c r="H223" s="16">
        <v>2</v>
      </c>
      <c r="I223" t="s">
        <v>53</v>
      </c>
      <c r="J223" s="16">
        <v>3</v>
      </c>
    </row>
    <row r="224" spans="1:10">
      <c r="A224" t="s">
        <v>1310</v>
      </c>
      <c r="B224" s="15">
        <v>46174</v>
      </c>
      <c r="C224" t="s">
        <v>1080</v>
      </c>
      <c r="D224" t="s">
        <v>144</v>
      </c>
      <c r="E224" t="s">
        <v>37</v>
      </c>
      <c r="F224" t="s">
        <v>1081</v>
      </c>
      <c r="G224" t="s">
        <v>1091</v>
      </c>
      <c r="H224" s="16">
        <v>4</v>
      </c>
      <c r="I224" t="s">
        <v>53</v>
      </c>
      <c r="J224" s="16">
        <v>4</v>
      </c>
    </row>
    <row r="225" spans="1:10">
      <c r="A225" t="s">
        <v>1311</v>
      </c>
      <c r="B225" s="15">
        <v>46183</v>
      </c>
      <c r="C225" t="s">
        <v>1080</v>
      </c>
      <c r="D225" t="s">
        <v>52</v>
      </c>
      <c r="E225" t="s">
        <v>37</v>
      </c>
      <c r="F225" t="s">
        <v>1084</v>
      </c>
      <c r="G225" t="s">
        <v>1091</v>
      </c>
      <c r="H225" s="16">
        <v>3</v>
      </c>
      <c r="I225" t="s">
        <v>53</v>
      </c>
      <c r="J225" s="16">
        <v>4</v>
      </c>
    </row>
    <row r="226" spans="1:10">
      <c r="A226" t="s">
        <v>1312</v>
      </c>
      <c r="B226" s="15">
        <v>46195</v>
      </c>
      <c r="C226" t="s">
        <v>1080</v>
      </c>
      <c r="D226" t="s">
        <v>307</v>
      </c>
      <c r="E226" t="s">
        <v>231</v>
      </c>
      <c r="F226" t="s">
        <v>1086</v>
      </c>
      <c r="G226" t="s">
        <v>1093</v>
      </c>
      <c r="H226" s="16">
        <v>2</v>
      </c>
      <c r="I226" t="s">
        <v>53</v>
      </c>
      <c r="J226" s="16">
        <v>2</v>
      </c>
    </row>
    <row r="227" spans="1:10">
      <c r="A227" t="s">
        <v>1313</v>
      </c>
      <c r="B227" s="15">
        <v>46178</v>
      </c>
      <c r="C227" t="s">
        <v>1080</v>
      </c>
      <c r="D227" t="s">
        <v>249</v>
      </c>
      <c r="E227" t="s">
        <v>231</v>
      </c>
      <c r="F227" t="s">
        <v>1084</v>
      </c>
      <c r="G227" t="s">
        <v>1082</v>
      </c>
      <c r="H227" s="16">
        <v>2</v>
      </c>
      <c r="I227" t="s">
        <v>53</v>
      </c>
      <c r="J227" s="16">
        <v>2</v>
      </c>
    </row>
    <row r="228" spans="1:10">
      <c r="A228" t="s">
        <v>1314</v>
      </c>
      <c r="B228" s="15">
        <v>46132</v>
      </c>
      <c r="C228" t="s">
        <v>1080</v>
      </c>
      <c r="D228" t="s">
        <v>76</v>
      </c>
      <c r="E228" t="s">
        <v>37</v>
      </c>
      <c r="F228" t="s">
        <v>1084</v>
      </c>
      <c r="G228" t="s">
        <v>1093</v>
      </c>
      <c r="H228" s="16">
        <v>3</v>
      </c>
      <c r="I228" t="s">
        <v>41</v>
      </c>
      <c r="J228" s="16">
        <v>3</v>
      </c>
    </row>
    <row r="229" spans="1:10">
      <c r="A229" t="s">
        <v>1315</v>
      </c>
      <c r="B229" s="15">
        <v>46124</v>
      </c>
      <c r="C229" t="s">
        <v>1080</v>
      </c>
      <c r="D229" t="s">
        <v>327</v>
      </c>
      <c r="E229" t="s">
        <v>231</v>
      </c>
      <c r="F229" t="s">
        <v>1084</v>
      </c>
      <c r="G229" t="s">
        <v>1082</v>
      </c>
      <c r="H229" s="16">
        <v>1</v>
      </c>
      <c r="I229" t="s">
        <v>41</v>
      </c>
      <c r="J229" s="16">
        <v>3</v>
      </c>
    </row>
    <row r="230" spans="1:10">
      <c r="A230" t="s">
        <v>1316</v>
      </c>
      <c r="B230" s="15">
        <v>46164</v>
      </c>
      <c r="C230" t="s">
        <v>1080</v>
      </c>
      <c r="D230" t="s">
        <v>189</v>
      </c>
      <c r="E230" t="s">
        <v>37</v>
      </c>
      <c r="F230" t="s">
        <v>1081</v>
      </c>
      <c r="G230" t="s">
        <v>1097</v>
      </c>
      <c r="H230" s="16">
        <v>3</v>
      </c>
      <c r="I230" t="s">
        <v>53</v>
      </c>
      <c r="J230" s="16">
        <v>4</v>
      </c>
    </row>
    <row r="231" spans="1:10">
      <c r="A231" t="s">
        <v>1317</v>
      </c>
      <c r="B231" s="15">
        <v>46201</v>
      </c>
      <c r="C231" t="s">
        <v>1080</v>
      </c>
      <c r="D231" t="s">
        <v>439</v>
      </c>
      <c r="E231" t="s">
        <v>396</v>
      </c>
      <c r="F231" t="s">
        <v>1084</v>
      </c>
      <c r="G231" t="s">
        <v>1091</v>
      </c>
      <c r="H231" s="16">
        <v>5</v>
      </c>
      <c r="I231" t="s">
        <v>53</v>
      </c>
      <c r="J231" s="16">
        <v>4</v>
      </c>
    </row>
    <row r="232" spans="1:10">
      <c r="A232" t="s">
        <v>1318</v>
      </c>
      <c r="B232" s="15">
        <v>46142</v>
      </c>
      <c r="C232" t="s">
        <v>1080</v>
      </c>
      <c r="D232" t="s">
        <v>111</v>
      </c>
      <c r="E232" t="s">
        <v>37</v>
      </c>
      <c r="F232" t="s">
        <v>1086</v>
      </c>
      <c r="G232" t="s">
        <v>1082</v>
      </c>
      <c r="H232" s="16">
        <v>5</v>
      </c>
      <c r="I232" t="s">
        <v>53</v>
      </c>
      <c r="J232" s="16">
        <v>3</v>
      </c>
    </row>
    <row r="233" spans="1:10">
      <c r="A233" t="s">
        <v>1319</v>
      </c>
      <c r="B233" s="15">
        <v>46119</v>
      </c>
      <c r="C233" t="s">
        <v>1080</v>
      </c>
      <c r="D233" t="s">
        <v>214</v>
      </c>
      <c r="E233" t="s">
        <v>37</v>
      </c>
      <c r="F233" t="s">
        <v>1084</v>
      </c>
      <c r="G233" t="s">
        <v>1091</v>
      </c>
      <c r="H233" s="16">
        <v>4</v>
      </c>
      <c r="I233" t="s">
        <v>53</v>
      </c>
      <c r="J233" s="16">
        <v>2</v>
      </c>
    </row>
    <row r="234" spans="1:10">
      <c r="A234" t="s">
        <v>1320</v>
      </c>
      <c r="B234" s="15">
        <v>46132</v>
      </c>
      <c r="C234" t="s">
        <v>1080</v>
      </c>
      <c r="D234" t="s">
        <v>270</v>
      </c>
      <c r="E234" t="s">
        <v>231</v>
      </c>
      <c r="F234" t="s">
        <v>1081</v>
      </c>
      <c r="G234" t="s">
        <v>1093</v>
      </c>
      <c r="H234" s="16">
        <v>4</v>
      </c>
      <c r="I234" t="s">
        <v>53</v>
      </c>
      <c r="J234" s="16">
        <v>3</v>
      </c>
    </row>
    <row r="235" spans="1:10">
      <c r="A235" t="s">
        <v>1321</v>
      </c>
      <c r="B235" s="15">
        <v>46198</v>
      </c>
      <c r="C235" t="s">
        <v>1080</v>
      </c>
      <c r="D235" t="s">
        <v>501</v>
      </c>
      <c r="E235" t="s">
        <v>396</v>
      </c>
      <c r="F235" t="s">
        <v>1090</v>
      </c>
      <c r="G235" t="s">
        <v>1082</v>
      </c>
      <c r="H235" s="16">
        <v>4</v>
      </c>
      <c r="I235" t="s">
        <v>53</v>
      </c>
      <c r="J235" s="16">
        <v>5</v>
      </c>
    </row>
    <row r="236" spans="1:10">
      <c r="A236" t="s">
        <v>1322</v>
      </c>
      <c r="B236" s="15">
        <v>46166</v>
      </c>
      <c r="C236" t="s">
        <v>1080</v>
      </c>
      <c r="D236" t="s">
        <v>375</v>
      </c>
      <c r="E236" t="s">
        <v>231</v>
      </c>
      <c r="F236" t="s">
        <v>1084</v>
      </c>
      <c r="G236" t="s">
        <v>1091</v>
      </c>
      <c r="H236" s="16">
        <v>4</v>
      </c>
      <c r="I236" t="s">
        <v>53</v>
      </c>
      <c r="J236" s="16">
        <v>5</v>
      </c>
    </row>
    <row r="237" spans="1:10">
      <c r="A237" t="s">
        <v>1323</v>
      </c>
      <c r="B237" s="15">
        <v>46139</v>
      </c>
      <c r="C237" t="s">
        <v>1080</v>
      </c>
      <c r="D237" t="s">
        <v>293</v>
      </c>
      <c r="E237" t="s">
        <v>231</v>
      </c>
      <c r="F237" t="s">
        <v>1086</v>
      </c>
      <c r="G237" t="s">
        <v>1091</v>
      </c>
      <c r="H237" s="16">
        <v>1</v>
      </c>
      <c r="I237" t="s">
        <v>53</v>
      </c>
      <c r="J237" s="16">
        <v>2</v>
      </c>
    </row>
    <row r="238" spans="1:10">
      <c r="A238" t="s">
        <v>1324</v>
      </c>
      <c r="B238" s="15">
        <v>46178</v>
      </c>
      <c r="C238" t="s">
        <v>1080</v>
      </c>
      <c r="D238" t="s">
        <v>442</v>
      </c>
      <c r="E238" t="s">
        <v>396</v>
      </c>
      <c r="F238" t="s">
        <v>1084</v>
      </c>
      <c r="G238" t="s">
        <v>1082</v>
      </c>
      <c r="H238" s="16">
        <v>6</v>
      </c>
      <c r="I238" t="s">
        <v>53</v>
      </c>
      <c r="J238" s="16">
        <v>3</v>
      </c>
    </row>
    <row r="239" spans="1:10">
      <c r="A239" t="s">
        <v>1325</v>
      </c>
      <c r="B239" s="15">
        <v>46193</v>
      </c>
      <c r="C239" t="s">
        <v>1080</v>
      </c>
      <c r="D239" t="s">
        <v>394</v>
      </c>
      <c r="E239" t="s">
        <v>231</v>
      </c>
      <c r="F239" t="s">
        <v>1086</v>
      </c>
      <c r="G239" t="s">
        <v>1082</v>
      </c>
      <c r="H239" s="16">
        <v>4</v>
      </c>
      <c r="I239" t="s">
        <v>53</v>
      </c>
      <c r="J239" s="16">
        <v>2</v>
      </c>
    </row>
    <row r="240" spans="1:10">
      <c r="A240" t="s">
        <v>1326</v>
      </c>
      <c r="B240" s="15">
        <v>46190</v>
      </c>
      <c r="C240" t="s">
        <v>1080</v>
      </c>
      <c r="D240" t="s">
        <v>115</v>
      </c>
      <c r="E240" t="s">
        <v>37</v>
      </c>
      <c r="F240" t="s">
        <v>1090</v>
      </c>
      <c r="G240" t="s">
        <v>1082</v>
      </c>
      <c r="H240" s="16">
        <v>1</v>
      </c>
      <c r="I240" t="s">
        <v>53</v>
      </c>
      <c r="J240" s="16">
        <v>3</v>
      </c>
    </row>
    <row r="241" spans="1:10">
      <c r="A241" t="s">
        <v>1327</v>
      </c>
      <c r="B241" s="15">
        <v>46163</v>
      </c>
      <c r="C241" t="s">
        <v>1080</v>
      </c>
      <c r="D241" t="s">
        <v>265</v>
      </c>
      <c r="E241" t="s">
        <v>231</v>
      </c>
      <c r="F241" t="s">
        <v>1090</v>
      </c>
      <c r="G241" t="s">
        <v>1082</v>
      </c>
      <c r="H241" s="16">
        <v>3</v>
      </c>
      <c r="I241" t="s">
        <v>53</v>
      </c>
      <c r="J241" s="16">
        <v>3</v>
      </c>
    </row>
    <row r="242" spans="1:10">
      <c r="A242" t="s">
        <v>1328</v>
      </c>
      <c r="B242" s="15">
        <v>46178</v>
      </c>
      <c r="C242" t="s">
        <v>1080</v>
      </c>
      <c r="D242" t="s">
        <v>503</v>
      </c>
      <c r="E242" t="s">
        <v>396</v>
      </c>
      <c r="F242" t="s">
        <v>1081</v>
      </c>
      <c r="G242" t="s">
        <v>1093</v>
      </c>
      <c r="H242" s="16">
        <v>2</v>
      </c>
      <c r="I242" t="s">
        <v>41</v>
      </c>
      <c r="J242" s="16">
        <v>5</v>
      </c>
    </row>
    <row r="243" spans="1:10">
      <c r="A243" t="s">
        <v>1329</v>
      </c>
      <c r="B243" s="15">
        <v>46126</v>
      </c>
      <c r="C243" t="s">
        <v>1080</v>
      </c>
      <c r="D243" t="s">
        <v>287</v>
      </c>
      <c r="E243" t="s">
        <v>231</v>
      </c>
      <c r="F243" t="s">
        <v>1084</v>
      </c>
      <c r="G243" t="s">
        <v>1082</v>
      </c>
      <c r="H243" s="16">
        <v>4</v>
      </c>
      <c r="I243" t="s">
        <v>53</v>
      </c>
      <c r="J243" s="16">
        <v>4</v>
      </c>
    </row>
    <row r="244" spans="1:10">
      <c r="A244" t="s">
        <v>1330</v>
      </c>
      <c r="B244" s="15">
        <v>46140</v>
      </c>
      <c r="C244" t="s">
        <v>1080</v>
      </c>
      <c r="D244" t="s">
        <v>477</v>
      </c>
      <c r="E244" t="s">
        <v>396</v>
      </c>
      <c r="F244" t="s">
        <v>1090</v>
      </c>
      <c r="G244" t="s">
        <v>1082</v>
      </c>
      <c r="H244" s="16">
        <v>1</v>
      </c>
      <c r="I244" t="s">
        <v>53</v>
      </c>
      <c r="J244" s="16">
        <v>5</v>
      </c>
    </row>
    <row r="245" spans="1:10">
      <c r="A245" t="s">
        <v>1331</v>
      </c>
      <c r="B245" s="15">
        <v>46142</v>
      </c>
      <c r="C245" t="s">
        <v>1080</v>
      </c>
      <c r="D245" t="s">
        <v>464</v>
      </c>
      <c r="E245" t="s">
        <v>396</v>
      </c>
      <c r="F245" t="s">
        <v>1086</v>
      </c>
      <c r="G245" t="s">
        <v>1082</v>
      </c>
      <c r="H245" s="16">
        <v>2</v>
      </c>
      <c r="I245" t="s">
        <v>53</v>
      </c>
      <c r="J245" s="16">
        <v>5</v>
      </c>
    </row>
    <row r="246" spans="1:10">
      <c r="A246" t="s">
        <v>1332</v>
      </c>
      <c r="B246" s="15">
        <v>46139</v>
      </c>
      <c r="C246" t="s">
        <v>1080</v>
      </c>
      <c r="D246" t="s">
        <v>177</v>
      </c>
      <c r="E246" t="s">
        <v>37</v>
      </c>
      <c r="F246" t="s">
        <v>1084</v>
      </c>
      <c r="G246" t="s">
        <v>1082</v>
      </c>
      <c r="H246" s="16">
        <v>4</v>
      </c>
      <c r="I246" t="s">
        <v>53</v>
      </c>
      <c r="J246" s="16">
        <v>3</v>
      </c>
    </row>
    <row r="247" spans="1:10">
      <c r="A247" t="s">
        <v>1333</v>
      </c>
      <c r="B247" s="15">
        <v>46171</v>
      </c>
      <c r="C247" t="s">
        <v>1080</v>
      </c>
      <c r="D247" t="s">
        <v>500</v>
      </c>
      <c r="E247" t="s">
        <v>396</v>
      </c>
      <c r="F247" t="s">
        <v>1084</v>
      </c>
      <c r="G247" t="s">
        <v>1097</v>
      </c>
      <c r="H247" s="16">
        <v>4</v>
      </c>
      <c r="I247" t="s">
        <v>53</v>
      </c>
      <c r="J247" s="16">
        <v>3</v>
      </c>
    </row>
    <row r="248" spans="1:10">
      <c r="A248" t="s">
        <v>1334</v>
      </c>
      <c r="B248" s="15">
        <v>46198</v>
      </c>
      <c r="C248" t="s">
        <v>1080</v>
      </c>
      <c r="D248" t="s">
        <v>463</v>
      </c>
      <c r="E248" t="s">
        <v>396</v>
      </c>
      <c r="F248" t="s">
        <v>1081</v>
      </c>
      <c r="G248" t="s">
        <v>1093</v>
      </c>
      <c r="H248" s="16">
        <v>5</v>
      </c>
      <c r="I248" t="s">
        <v>53</v>
      </c>
      <c r="J248" s="16">
        <v>3</v>
      </c>
    </row>
    <row r="249" spans="1:10">
      <c r="A249" t="s">
        <v>1335</v>
      </c>
      <c r="B249" s="15">
        <v>46116</v>
      </c>
      <c r="C249" t="s">
        <v>1080</v>
      </c>
      <c r="D249" t="s">
        <v>393</v>
      </c>
      <c r="E249" t="s">
        <v>231</v>
      </c>
      <c r="F249" t="s">
        <v>1084</v>
      </c>
      <c r="G249" t="s">
        <v>1091</v>
      </c>
      <c r="H249" s="16">
        <v>5</v>
      </c>
      <c r="I249" t="s">
        <v>53</v>
      </c>
      <c r="J249" s="16">
        <v>2</v>
      </c>
    </row>
    <row r="250" spans="1:10">
      <c r="A250" t="s">
        <v>1336</v>
      </c>
      <c r="B250" s="15">
        <v>46235</v>
      </c>
      <c r="C250" t="s">
        <v>1337</v>
      </c>
      <c r="D250" t="s">
        <v>657</v>
      </c>
      <c r="E250" t="s">
        <v>37</v>
      </c>
      <c r="F250" t="s">
        <v>1084</v>
      </c>
      <c r="G250" t="s">
        <v>1082</v>
      </c>
      <c r="H250" s="16">
        <v>5</v>
      </c>
      <c r="I250" t="s">
        <v>41</v>
      </c>
      <c r="J250" s="16">
        <v>3</v>
      </c>
    </row>
    <row r="251" spans="1:10">
      <c r="A251" t="s">
        <v>1338</v>
      </c>
      <c r="B251" s="15">
        <v>46224</v>
      </c>
      <c r="C251" t="s">
        <v>1337</v>
      </c>
      <c r="D251" t="s">
        <v>704</v>
      </c>
      <c r="E251" t="s">
        <v>37</v>
      </c>
      <c r="F251" t="s">
        <v>1086</v>
      </c>
      <c r="G251" t="s">
        <v>1082</v>
      </c>
      <c r="H251" s="16">
        <v>5</v>
      </c>
      <c r="I251" t="s">
        <v>53</v>
      </c>
      <c r="J251" s="16">
        <v>2</v>
      </c>
    </row>
    <row r="252" spans="1:10">
      <c r="A252" t="s">
        <v>1339</v>
      </c>
      <c r="B252" s="15">
        <v>46262</v>
      </c>
      <c r="C252" t="s">
        <v>1337</v>
      </c>
      <c r="D252" t="s">
        <v>676</v>
      </c>
      <c r="E252" t="s">
        <v>37</v>
      </c>
      <c r="F252" t="s">
        <v>1081</v>
      </c>
      <c r="G252" t="s">
        <v>1093</v>
      </c>
      <c r="H252" s="16">
        <v>13</v>
      </c>
      <c r="I252" t="s">
        <v>53</v>
      </c>
      <c r="J252" s="16">
        <v>2</v>
      </c>
    </row>
    <row r="253" spans="1:10">
      <c r="A253" t="s">
        <v>1340</v>
      </c>
      <c r="B253" s="15">
        <v>46274</v>
      </c>
      <c r="C253" t="s">
        <v>1337</v>
      </c>
      <c r="D253" t="s">
        <v>879</v>
      </c>
      <c r="E253" t="s">
        <v>231</v>
      </c>
      <c r="F253" t="s">
        <v>1090</v>
      </c>
      <c r="G253" t="s">
        <v>1093</v>
      </c>
      <c r="H253" s="16">
        <v>8</v>
      </c>
      <c r="I253" t="s">
        <v>53</v>
      </c>
      <c r="J253" s="16">
        <v>3</v>
      </c>
    </row>
    <row r="254" spans="1:10">
      <c r="A254" t="s">
        <v>1341</v>
      </c>
      <c r="B254" s="15">
        <v>46249</v>
      </c>
      <c r="C254" t="s">
        <v>1337</v>
      </c>
      <c r="D254" t="s">
        <v>1063</v>
      </c>
      <c r="E254" t="s">
        <v>396</v>
      </c>
      <c r="F254" t="s">
        <v>1090</v>
      </c>
      <c r="G254" t="s">
        <v>1093</v>
      </c>
      <c r="H254" s="16">
        <v>9</v>
      </c>
      <c r="I254" t="s">
        <v>53</v>
      </c>
      <c r="J254" s="16">
        <v>3</v>
      </c>
    </row>
    <row r="255" spans="1:10">
      <c r="A255" t="s">
        <v>1342</v>
      </c>
      <c r="B255" s="15">
        <v>46271</v>
      </c>
      <c r="C255" t="s">
        <v>1337</v>
      </c>
      <c r="D255" t="s">
        <v>645</v>
      </c>
      <c r="E255" t="s">
        <v>37</v>
      </c>
      <c r="F255" t="s">
        <v>1086</v>
      </c>
      <c r="G255" t="s">
        <v>1093</v>
      </c>
      <c r="H255" s="16">
        <v>5</v>
      </c>
      <c r="I255" t="s">
        <v>53</v>
      </c>
      <c r="J255" s="16">
        <v>2</v>
      </c>
    </row>
    <row r="256" spans="1:10">
      <c r="A256" t="s">
        <v>1343</v>
      </c>
      <c r="B256" s="15">
        <v>46280</v>
      </c>
      <c r="C256" t="s">
        <v>1337</v>
      </c>
      <c r="D256" t="s">
        <v>635</v>
      </c>
      <c r="E256" t="s">
        <v>37</v>
      </c>
      <c r="F256" t="s">
        <v>1081</v>
      </c>
      <c r="G256" t="s">
        <v>1082</v>
      </c>
      <c r="H256" s="16">
        <v>7</v>
      </c>
      <c r="I256" t="s">
        <v>53</v>
      </c>
      <c r="J256" s="16">
        <v>1</v>
      </c>
    </row>
    <row r="257" spans="1:10">
      <c r="A257" t="s">
        <v>1344</v>
      </c>
      <c r="B257" s="15">
        <v>46252</v>
      </c>
      <c r="C257" t="s">
        <v>1337</v>
      </c>
      <c r="D257" t="s">
        <v>637</v>
      </c>
      <c r="E257" t="s">
        <v>37</v>
      </c>
      <c r="F257" t="s">
        <v>1090</v>
      </c>
      <c r="G257" t="s">
        <v>1093</v>
      </c>
      <c r="H257" s="16">
        <v>5</v>
      </c>
      <c r="I257" t="s">
        <v>53</v>
      </c>
      <c r="J257" s="16">
        <v>3</v>
      </c>
    </row>
    <row r="258" spans="1:10">
      <c r="A258" t="s">
        <v>1345</v>
      </c>
      <c r="B258" s="15">
        <v>46259</v>
      </c>
      <c r="C258" t="s">
        <v>1337</v>
      </c>
      <c r="D258" t="s">
        <v>904</v>
      </c>
      <c r="E258" t="s">
        <v>231</v>
      </c>
      <c r="F258" t="s">
        <v>1081</v>
      </c>
      <c r="G258" t="s">
        <v>1082</v>
      </c>
      <c r="H258" s="16">
        <v>9</v>
      </c>
      <c r="I258" t="s">
        <v>53</v>
      </c>
      <c r="J258" s="16">
        <v>2</v>
      </c>
    </row>
    <row r="259" spans="1:10">
      <c r="A259" t="s">
        <v>1346</v>
      </c>
      <c r="B259" s="15">
        <v>46221</v>
      </c>
      <c r="C259" t="s">
        <v>1337</v>
      </c>
      <c r="D259" t="s">
        <v>707</v>
      </c>
      <c r="E259" t="s">
        <v>37</v>
      </c>
      <c r="F259" t="s">
        <v>1086</v>
      </c>
      <c r="G259" t="s">
        <v>1093</v>
      </c>
      <c r="H259" s="16">
        <v>7</v>
      </c>
      <c r="I259" t="s">
        <v>53</v>
      </c>
      <c r="J259" s="16">
        <v>3</v>
      </c>
    </row>
    <row r="260" spans="1:10">
      <c r="A260" t="s">
        <v>1347</v>
      </c>
      <c r="B260" s="15">
        <v>46236</v>
      </c>
      <c r="C260" t="s">
        <v>1337</v>
      </c>
      <c r="D260" t="s">
        <v>665</v>
      </c>
      <c r="E260" t="s">
        <v>37</v>
      </c>
      <c r="F260" t="s">
        <v>1086</v>
      </c>
      <c r="G260" t="s">
        <v>1093</v>
      </c>
      <c r="H260" s="16">
        <v>5</v>
      </c>
      <c r="I260" t="s">
        <v>41</v>
      </c>
      <c r="J260" s="16">
        <v>3</v>
      </c>
    </row>
    <row r="261" spans="1:10">
      <c r="A261" t="s">
        <v>1348</v>
      </c>
      <c r="B261" s="15">
        <v>46230</v>
      </c>
      <c r="C261" t="s">
        <v>1337</v>
      </c>
      <c r="D261" t="s">
        <v>1034</v>
      </c>
      <c r="E261" t="s">
        <v>396</v>
      </c>
      <c r="F261" t="s">
        <v>1090</v>
      </c>
      <c r="G261" t="s">
        <v>1082</v>
      </c>
      <c r="H261" s="16">
        <v>7</v>
      </c>
      <c r="I261" t="s">
        <v>53</v>
      </c>
      <c r="J261" s="16">
        <v>2</v>
      </c>
    </row>
    <row r="262" spans="1:10">
      <c r="A262" t="s">
        <v>1349</v>
      </c>
      <c r="B262" s="15">
        <v>46216</v>
      </c>
      <c r="C262" t="s">
        <v>1337</v>
      </c>
      <c r="D262" t="s">
        <v>616</v>
      </c>
      <c r="E262" t="s">
        <v>37</v>
      </c>
      <c r="F262" t="s">
        <v>1081</v>
      </c>
      <c r="G262" t="s">
        <v>1091</v>
      </c>
      <c r="H262" s="16">
        <v>8</v>
      </c>
      <c r="I262" t="s">
        <v>53</v>
      </c>
      <c r="J262" s="16">
        <v>4</v>
      </c>
    </row>
    <row r="263" spans="1:10">
      <c r="A263" t="s">
        <v>1350</v>
      </c>
      <c r="B263" s="15">
        <v>46287</v>
      </c>
      <c r="C263" t="s">
        <v>1337</v>
      </c>
      <c r="D263" t="s">
        <v>851</v>
      </c>
      <c r="E263" t="s">
        <v>231</v>
      </c>
      <c r="F263" t="s">
        <v>1084</v>
      </c>
      <c r="G263" t="s">
        <v>1082</v>
      </c>
      <c r="H263" s="16">
        <v>6</v>
      </c>
      <c r="I263" t="s">
        <v>53</v>
      </c>
      <c r="J263" s="16">
        <v>3</v>
      </c>
    </row>
    <row r="264" spans="1:10">
      <c r="A264" t="s">
        <v>1351</v>
      </c>
      <c r="B264" s="15">
        <v>46265</v>
      </c>
      <c r="C264" t="s">
        <v>1337</v>
      </c>
      <c r="D264" t="s">
        <v>758</v>
      </c>
      <c r="E264" t="s">
        <v>231</v>
      </c>
      <c r="F264" t="s">
        <v>1086</v>
      </c>
      <c r="G264" t="s">
        <v>1091</v>
      </c>
      <c r="H264" s="16">
        <v>5</v>
      </c>
      <c r="I264" t="s">
        <v>53</v>
      </c>
      <c r="J264" s="16">
        <v>1</v>
      </c>
    </row>
    <row r="265" spans="1:10">
      <c r="A265" t="s">
        <v>1352</v>
      </c>
      <c r="B265" s="15">
        <v>46225</v>
      </c>
      <c r="C265" t="s">
        <v>1337</v>
      </c>
      <c r="D265" t="s">
        <v>743</v>
      </c>
      <c r="E265" t="s">
        <v>231</v>
      </c>
      <c r="F265" t="s">
        <v>1081</v>
      </c>
      <c r="G265" t="s">
        <v>1082</v>
      </c>
      <c r="H265" s="16">
        <v>11</v>
      </c>
      <c r="I265" t="s">
        <v>53</v>
      </c>
      <c r="J265" s="16">
        <v>3</v>
      </c>
    </row>
    <row r="266" spans="1:10">
      <c r="A266" t="s">
        <v>1353</v>
      </c>
      <c r="B266" s="15">
        <v>46269</v>
      </c>
      <c r="C266" t="s">
        <v>1337</v>
      </c>
      <c r="D266" t="s">
        <v>971</v>
      </c>
      <c r="E266" t="s">
        <v>396</v>
      </c>
      <c r="F266" t="s">
        <v>1081</v>
      </c>
      <c r="G266" t="s">
        <v>1097</v>
      </c>
      <c r="H266" s="16">
        <v>9</v>
      </c>
      <c r="I266" t="s">
        <v>53</v>
      </c>
      <c r="J266" s="16">
        <v>1</v>
      </c>
    </row>
    <row r="267" spans="1:10">
      <c r="A267" t="s">
        <v>1354</v>
      </c>
      <c r="B267" s="15">
        <v>46255</v>
      </c>
      <c r="C267" t="s">
        <v>1337</v>
      </c>
      <c r="D267" t="s">
        <v>626</v>
      </c>
      <c r="E267" t="s">
        <v>37</v>
      </c>
      <c r="F267" t="s">
        <v>1081</v>
      </c>
      <c r="G267" t="s">
        <v>1093</v>
      </c>
      <c r="H267" s="16">
        <v>10</v>
      </c>
      <c r="I267" t="s">
        <v>53</v>
      </c>
      <c r="J267" s="16">
        <v>3</v>
      </c>
    </row>
    <row r="268" spans="1:10">
      <c r="A268" t="s">
        <v>1355</v>
      </c>
      <c r="B268" s="15">
        <v>46270</v>
      </c>
      <c r="C268" t="s">
        <v>1337</v>
      </c>
      <c r="D268" t="s">
        <v>890</v>
      </c>
      <c r="E268" t="s">
        <v>231</v>
      </c>
      <c r="F268" t="s">
        <v>1086</v>
      </c>
      <c r="G268" t="s">
        <v>1093</v>
      </c>
      <c r="H268" s="16">
        <v>3</v>
      </c>
      <c r="I268" t="s">
        <v>53</v>
      </c>
      <c r="J268" s="16">
        <v>1</v>
      </c>
    </row>
    <row r="269" spans="1:10">
      <c r="A269" t="s">
        <v>1356</v>
      </c>
      <c r="B269" s="15">
        <v>46259</v>
      </c>
      <c r="C269" t="s">
        <v>1337</v>
      </c>
      <c r="D269" t="s">
        <v>1047</v>
      </c>
      <c r="E269" t="s">
        <v>396</v>
      </c>
      <c r="F269" t="s">
        <v>1086</v>
      </c>
      <c r="G269" t="s">
        <v>1091</v>
      </c>
      <c r="H269" s="16">
        <v>7</v>
      </c>
      <c r="I269" t="s">
        <v>53</v>
      </c>
      <c r="J269" s="16">
        <v>3</v>
      </c>
    </row>
    <row r="270" spans="1:10">
      <c r="A270" t="s">
        <v>1357</v>
      </c>
      <c r="B270" s="15">
        <v>46223</v>
      </c>
      <c r="C270" t="s">
        <v>1337</v>
      </c>
      <c r="D270" t="s">
        <v>1012</v>
      </c>
      <c r="E270" t="s">
        <v>396</v>
      </c>
      <c r="F270" t="s">
        <v>1086</v>
      </c>
      <c r="G270" t="s">
        <v>1091</v>
      </c>
      <c r="H270" s="16">
        <v>7</v>
      </c>
      <c r="I270" t="s">
        <v>53</v>
      </c>
      <c r="J270" s="16">
        <v>1</v>
      </c>
    </row>
    <row r="271" spans="1:10">
      <c r="A271" t="s">
        <v>1358</v>
      </c>
      <c r="B271" s="15">
        <v>46285</v>
      </c>
      <c r="C271" t="s">
        <v>1337</v>
      </c>
      <c r="D271" t="s">
        <v>609</v>
      </c>
      <c r="E271" t="s">
        <v>37</v>
      </c>
      <c r="F271" t="s">
        <v>1084</v>
      </c>
      <c r="G271" t="s">
        <v>1082</v>
      </c>
      <c r="H271" s="16">
        <v>3</v>
      </c>
      <c r="I271" t="s">
        <v>53</v>
      </c>
      <c r="J271" s="16">
        <v>4</v>
      </c>
    </row>
    <row r="272" spans="1:10">
      <c r="A272" t="s">
        <v>1359</v>
      </c>
      <c r="B272" s="15">
        <v>46254</v>
      </c>
      <c r="C272" t="s">
        <v>1337</v>
      </c>
      <c r="D272" t="s">
        <v>797</v>
      </c>
      <c r="E272" t="s">
        <v>231</v>
      </c>
      <c r="F272" t="s">
        <v>1084</v>
      </c>
      <c r="G272" t="s">
        <v>1091</v>
      </c>
      <c r="H272" s="16">
        <v>7</v>
      </c>
      <c r="I272" t="s">
        <v>53</v>
      </c>
      <c r="J272" s="16">
        <v>2</v>
      </c>
    </row>
    <row r="273" spans="1:10">
      <c r="A273" t="s">
        <v>1360</v>
      </c>
      <c r="B273" s="15">
        <v>46228</v>
      </c>
      <c r="C273" t="s">
        <v>1337</v>
      </c>
      <c r="D273" t="s">
        <v>648</v>
      </c>
      <c r="E273" t="s">
        <v>37</v>
      </c>
      <c r="F273" t="s">
        <v>1081</v>
      </c>
      <c r="G273" t="s">
        <v>1091</v>
      </c>
      <c r="H273" s="16">
        <v>5</v>
      </c>
      <c r="I273" t="s">
        <v>53</v>
      </c>
      <c r="J273" s="16">
        <v>2</v>
      </c>
    </row>
    <row r="274" spans="1:10">
      <c r="A274" t="s">
        <v>1361</v>
      </c>
      <c r="B274" s="15">
        <v>46276</v>
      </c>
      <c r="C274" t="s">
        <v>1337</v>
      </c>
      <c r="D274" t="s">
        <v>981</v>
      </c>
      <c r="E274" t="s">
        <v>396</v>
      </c>
      <c r="F274" t="s">
        <v>1086</v>
      </c>
      <c r="G274" t="s">
        <v>1082</v>
      </c>
      <c r="H274" s="16">
        <v>2</v>
      </c>
      <c r="I274" t="s">
        <v>53</v>
      </c>
      <c r="J274" s="16">
        <v>3</v>
      </c>
    </row>
    <row r="275" spans="1:10">
      <c r="A275" t="s">
        <v>1362</v>
      </c>
      <c r="B275" s="15">
        <v>46224</v>
      </c>
      <c r="C275" t="s">
        <v>1337</v>
      </c>
      <c r="D275" t="s">
        <v>550</v>
      </c>
      <c r="E275" t="s">
        <v>37</v>
      </c>
      <c r="F275" t="s">
        <v>1086</v>
      </c>
      <c r="G275" t="s">
        <v>1097</v>
      </c>
      <c r="H275" s="16">
        <v>9</v>
      </c>
      <c r="I275" t="s">
        <v>53</v>
      </c>
      <c r="J275" s="16">
        <v>1</v>
      </c>
    </row>
    <row r="276" spans="1:10">
      <c r="A276" t="s">
        <v>1363</v>
      </c>
      <c r="B276" s="15">
        <v>46290</v>
      </c>
      <c r="C276" t="s">
        <v>1337</v>
      </c>
      <c r="D276" t="s">
        <v>1042</v>
      </c>
      <c r="E276" t="s">
        <v>396</v>
      </c>
      <c r="F276" t="s">
        <v>1086</v>
      </c>
      <c r="G276" t="s">
        <v>1082</v>
      </c>
      <c r="H276" s="16">
        <v>6</v>
      </c>
      <c r="I276" t="s">
        <v>53</v>
      </c>
      <c r="J276" s="16">
        <v>2</v>
      </c>
    </row>
    <row r="277" spans="1:10">
      <c r="A277" t="s">
        <v>1364</v>
      </c>
      <c r="B277" s="15">
        <v>46282</v>
      </c>
      <c r="C277" t="s">
        <v>1337</v>
      </c>
      <c r="D277" t="s">
        <v>727</v>
      </c>
      <c r="E277" t="s">
        <v>37</v>
      </c>
      <c r="F277" t="s">
        <v>1086</v>
      </c>
      <c r="G277" t="s">
        <v>1091</v>
      </c>
      <c r="H277" s="16">
        <v>7</v>
      </c>
      <c r="I277" t="s">
        <v>53</v>
      </c>
      <c r="J277" s="16">
        <v>2</v>
      </c>
    </row>
    <row r="278" spans="1:10">
      <c r="A278" t="s">
        <v>1365</v>
      </c>
      <c r="B278" s="15">
        <v>46274</v>
      </c>
      <c r="C278" t="s">
        <v>1337</v>
      </c>
      <c r="D278" t="s">
        <v>730</v>
      </c>
      <c r="E278" t="s">
        <v>37</v>
      </c>
      <c r="F278" t="s">
        <v>1081</v>
      </c>
      <c r="G278" t="s">
        <v>1097</v>
      </c>
      <c r="H278" s="16">
        <v>10</v>
      </c>
      <c r="I278" t="s">
        <v>53</v>
      </c>
      <c r="J278" s="16">
        <v>3</v>
      </c>
    </row>
    <row r="279" spans="1:10">
      <c r="A279" t="s">
        <v>1366</v>
      </c>
      <c r="B279" s="15">
        <v>46223</v>
      </c>
      <c r="C279" t="s">
        <v>1337</v>
      </c>
      <c r="D279" t="s">
        <v>911</v>
      </c>
      <c r="E279" t="s">
        <v>231</v>
      </c>
      <c r="F279" t="s">
        <v>1086</v>
      </c>
      <c r="G279" t="s">
        <v>1082</v>
      </c>
      <c r="H279" s="16">
        <v>1</v>
      </c>
      <c r="I279" t="s">
        <v>53</v>
      </c>
      <c r="J279" s="16">
        <v>3</v>
      </c>
    </row>
    <row r="280" spans="1:10">
      <c r="A280" t="s">
        <v>1367</v>
      </c>
      <c r="B280" s="15">
        <v>46235</v>
      </c>
      <c r="C280" t="s">
        <v>1337</v>
      </c>
      <c r="D280" t="s">
        <v>798</v>
      </c>
      <c r="E280" t="s">
        <v>231</v>
      </c>
      <c r="F280" t="s">
        <v>1084</v>
      </c>
      <c r="G280" t="s">
        <v>1093</v>
      </c>
      <c r="H280" s="16">
        <v>6</v>
      </c>
      <c r="I280" t="s">
        <v>53</v>
      </c>
      <c r="J280" s="16">
        <v>3</v>
      </c>
    </row>
    <row r="281" spans="1:10">
      <c r="A281" t="s">
        <v>1368</v>
      </c>
      <c r="B281" s="15">
        <v>46246</v>
      </c>
      <c r="C281" t="s">
        <v>1337</v>
      </c>
      <c r="D281" t="s">
        <v>671</v>
      </c>
      <c r="E281" t="s">
        <v>37</v>
      </c>
      <c r="F281" t="s">
        <v>1081</v>
      </c>
      <c r="G281" t="s">
        <v>1093</v>
      </c>
      <c r="H281" s="16">
        <v>4</v>
      </c>
      <c r="I281" t="s">
        <v>53</v>
      </c>
      <c r="J281" s="16">
        <v>2</v>
      </c>
    </row>
    <row r="282" spans="1:10">
      <c r="A282" t="s">
        <v>1369</v>
      </c>
      <c r="B282" s="15">
        <v>46242</v>
      </c>
      <c r="C282" t="s">
        <v>1337</v>
      </c>
      <c r="D282" t="s">
        <v>606</v>
      </c>
      <c r="E282" t="s">
        <v>37</v>
      </c>
      <c r="F282" t="s">
        <v>1086</v>
      </c>
      <c r="G282" t="s">
        <v>1082</v>
      </c>
      <c r="H282" s="16">
        <v>14</v>
      </c>
      <c r="I282" t="s">
        <v>53</v>
      </c>
      <c r="J282" s="16">
        <v>3</v>
      </c>
    </row>
    <row r="283" spans="1:10">
      <c r="A283" t="s">
        <v>1370</v>
      </c>
      <c r="B283" s="15">
        <v>46232</v>
      </c>
      <c r="C283" t="s">
        <v>1337</v>
      </c>
      <c r="D283" t="s">
        <v>804</v>
      </c>
      <c r="E283" t="s">
        <v>231</v>
      </c>
      <c r="F283" t="s">
        <v>1086</v>
      </c>
      <c r="G283" t="s">
        <v>1091</v>
      </c>
      <c r="H283" s="16">
        <v>5</v>
      </c>
      <c r="I283" t="s">
        <v>53</v>
      </c>
      <c r="J283" s="16">
        <v>2</v>
      </c>
    </row>
    <row r="284" spans="1:10">
      <c r="A284" t="s">
        <v>1371</v>
      </c>
      <c r="B284" s="15">
        <v>46256</v>
      </c>
      <c r="C284" t="s">
        <v>1337</v>
      </c>
      <c r="D284" t="s">
        <v>731</v>
      </c>
      <c r="E284" t="s">
        <v>37</v>
      </c>
      <c r="F284" t="s">
        <v>1081</v>
      </c>
      <c r="G284" t="s">
        <v>1082</v>
      </c>
      <c r="H284" s="16">
        <v>7</v>
      </c>
      <c r="I284" t="s">
        <v>53</v>
      </c>
      <c r="J284" s="16">
        <v>2</v>
      </c>
    </row>
    <row r="285" spans="1:10">
      <c r="A285" t="s">
        <v>1372</v>
      </c>
      <c r="B285" s="15">
        <v>46214</v>
      </c>
      <c r="C285" t="s">
        <v>1337</v>
      </c>
      <c r="D285" t="s">
        <v>603</v>
      </c>
      <c r="E285" t="s">
        <v>37</v>
      </c>
      <c r="F285" t="s">
        <v>1086</v>
      </c>
      <c r="G285" t="s">
        <v>1082</v>
      </c>
      <c r="H285" s="16">
        <v>7</v>
      </c>
      <c r="I285" t="s">
        <v>53</v>
      </c>
      <c r="J285" s="16">
        <v>2</v>
      </c>
    </row>
    <row r="286" spans="1:10">
      <c r="A286" t="s">
        <v>1373</v>
      </c>
      <c r="B286" s="15">
        <v>46211</v>
      </c>
      <c r="C286" t="s">
        <v>1337</v>
      </c>
      <c r="D286" t="s">
        <v>652</v>
      </c>
      <c r="E286" t="s">
        <v>37</v>
      </c>
      <c r="F286" t="s">
        <v>1086</v>
      </c>
      <c r="G286" t="s">
        <v>1082</v>
      </c>
      <c r="H286" s="16">
        <v>1</v>
      </c>
      <c r="I286" t="s">
        <v>53</v>
      </c>
      <c r="J286" s="16">
        <v>2</v>
      </c>
    </row>
    <row r="287" spans="1:10">
      <c r="A287" t="s">
        <v>1374</v>
      </c>
      <c r="B287" s="15">
        <v>46264</v>
      </c>
      <c r="C287" t="s">
        <v>1337</v>
      </c>
      <c r="D287" t="s">
        <v>748</v>
      </c>
      <c r="E287" t="s">
        <v>231</v>
      </c>
      <c r="F287" t="s">
        <v>1081</v>
      </c>
      <c r="G287" t="s">
        <v>1082</v>
      </c>
      <c r="H287" s="16">
        <v>7</v>
      </c>
      <c r="I287" t="s">
        <v>53</v>
      </c>
      <c r="J287" s="16">
        <v>3</v>
      </c>
    </row>
    <row r="288" spans="1:10">
      <c r="A288" t="s">
        <v>1375</v>
      </c>
      <c r="B288" s="15">
        <v>46254</v>
      </c>
      <c r="C288" t="s">
        <v>1337</v>
      </c>
      <c r="D288" t="s">
        <v>691</v>
      </c>
      <c r="E288" t="s">
        <v>37</v>
      </c>
      <c r="F288" t="s">
        <v>1081</v>
      </c>
      <c r="G288" t="s">
        <v>1082</v>
      </c>
      <c r="H288" s="16">
        <v>5</v>
      </c>
      <c r="I288" t="s">
        <v>53</v>
      </c>
      <c r="J288" s="16">
        <v>3</v>
      </c>
    </row>
    <row r="289" spans="1:10">
      <c r="A289" t="s">
        <v>1376</v>
      </c>
      <c r="B289" s="15">
        <v>46240</v>
      </c>
      <c r="C289" t="s">
        <v>1337</v>
      </c>
      <c r="D289" t="s">
        <v>803</v>
      </c>
      <c r="E289" t="s">
        <v>231</v>
      </c>
      <c r="F289" t="s">
        <v>1086</v>
      </c>
      <c r="G289" t="s">
        <v>1082</v>
      </c>
      <c r="H289" s="16">
        <v>8</v>
      </c>
      <c r="I289" t="s">
        <v>53</v>
      </c>
      <c r="J289" s="16">
        <v>2</v>
      </c>
    </row>
    <row r="290" spans="1:10">
      <c r="A290" t="s">
        <v>1377</v>
      </c>
      <c r="B290" s="15">
        <v>46214</v>
      </c>
      <c r="C290" t="s">
        <v>1337</v>
      </c>
      <c r="D290" t="s">
        <v>566</v>
      </c>
      <c r="E290" t="s">
        <v>37</v>
      </c>
      <c r="F290" t="s">
        <v>1081</v>
      </c>
      <c r="G290" t="s">
        <v>1093</v>
      </c>
      <c r="H290" s="16">
        <v>7</v>
      </c>
      <c r="I290" t="s">
        <v>53</v>
      </c>
      <c r="J290" s="16">
        <v>3</v>
      </c>
    </row>
    <row r="291" spans="1:10">
      <c r="A291" t="s">
        <v>1378</v>
      </c>
      <c r="B291" s="15">
        <v>46223</v>
      </c>
      <c r="C291" t="s">
        <v>1337</v>
      </c>
      <c r="D291" t="s">
        <v>679</v>
      </c>
      <c r="E291" t="s">
        <v>37</v>
      </c>
      <c r="F291" t="s">
        <v>1081</v>
      </c>
      <c r="G291" t="s">
        <v>1091</v>
      </c>
      <c r="H291" s="16">
        <v>8</v>
      </c>
      <c r="I291" t="s">
        <v>41</v>
      </c>
      <c r="J291" s="16">
        <v>1</v>
      </c>
    </row>
    <row r="292" spans="1:10">
      <c r="A292" t="s">
        <v>1379</v>
      </c>
      <c r="B292" s="15">
        <v>46286</v>
      </c>
      <c r="C292" t="s">
        <v>1337</v>
      </c>
      <c r="D292" t="s">
        <v>954</v>
      </c>
      <c r="E292" t="s">
        <v>396</v>
      </c>
      <c r="F292" t="s">
        <v>1090</v>
      </c>
      <c r="G292" t="s">
        <v>1082</v>
      </c>
      <c r="H292" s="16">
        <v>11</v>
      </c>
      <c r="I292" t="s">
        <v>41</v>
      </c>
      <c r="J292" s="16">
        <v>4</v>
      </c>
    </row>
    <row r="293" spans="1:10">
      <c r="A293" t="s">
        <v>1380</v>
      </c>
      <c r="B293" s="15">
        <v>46208</v>
      </c>
      <c r="C293" t="s">
        <v>1337</v>
      </c>
      <c r="D293" t="s">
        <v>575</v>
      </c>
      <c r="E293" t="s">
        <v>37</v>
      </c>
      <c r="F293" t="s">
        <v>1086</v>
      </c>
      <c r="G293" t="s">
        <v>1097</v>
      </c>
      <c r="H293" s="16">
        <v>3</v>
      </c>
      <c r="I293" t="s">
        <v>53</v>
      </c>
      <c r="J293" s="16">
        <v>2</v>
      </c>
    </row>
    <row r="294" spans="1:10">
      <c r="A294" t="s">
        <v>1381</v>
      </c>
      <c r="B294" s="15">
        <v>46249</v>
      </c>
      <c r="C294" t="s">
        <v>1337</v>
      </c>
      <c r="D294" t="s">
        <v>711</v>
      </c>
      <c r="E294" t="s">
        <v>37</v>
      </c>
      <c r="F294" t="s">
        <v>1084</v>
      </c>
      <c r="G294" t="s">
        <v>1082</v>
      </c>
      <c r="H294" s="16">
        <v>9</v>
      </c>
      <c r="I294" t="s">
        <v>41</v>
      </c>
      <c r="J294" s="16">
        <v>4</v>
      </c>
    </row>
    <row r="295" spans="1:10">
      <c r="A295" t="s">
        <v>1382</v>
      </c>
      <c r="B295" s="15">
        <v>46246</v>
      </c>
      <c r="C295" t="s">
        <v>1337</v>
      </c>
      <c r="D295" t="s">
        <v>566</v>
      </c>
      <c r="E295" t="s">
        <v>37</v>
      </c>
      <c r="F295" t="s">
        <v>1084</v>
      </c>
      <c r="G295" t="s">
        <v>1082</v>
      </c>
      <c r="H295" s="16">
        <v>3</v>
      </c>
      <c r="I295" t="s">
        <v>53</v>
      </c>
      <c r="J295" s="16">
        <v>2</v>
      </c>
    </row>
    <row r="296" spans="1:10">
      <c r="A296" t="s">
        <v>1383</v>
      </c>
      <c r="B296" s="15">
        <v>46225</v>
      </c>
      <c r="C296" t="s">
        <v>1337</v>
      </c>
      <c r="D296" t="s">
        <v>641</v>
      </c>
      <c r="E296" t="s">
        <v>37</v>
      </c>
      <c r="F296" t="s">
        <v>1081</v>
      </c>
      <c r="G296" t="s">
        <v>1091</v>
      </c>
      <c r="H296" s="16">
        <v>1</v>
      </c>
      <c r="I296" t="s">
        <v>53</v>
      </c>
      <c r="J296" s="16">
        <v>2</v>
      </c>
    </row>
    <row r="297" spans="1:10">
      <c r="A297" t="s">
        <v>1384</v>
      </c>
      <c r="B297" s="15">
        <v>46279</v>
      </c>
      <c r="C297" t="s">
        <v>1337</v>
      </c>
      <c r="D297" t="s">
        <v>615</v>
      </c>
      <c r="E297" t="s">
        <v>37</v>
      </c>
      <c r="F297" t="s">
        <v>1090</v>
      </c>
      <c r="G297" t="s">
        <v>1093</v>
      </c>
      <c r="H297" s="16">
        <v>3</v>
      </c>
      <c r="I297" t="s">
        <v>53</v>
      </c>
      <c r="J297" s="16">
        <v>2</v>
      </c>
    </row>
    <row r="298" spans="1:10">
      <c r="A298" t="s">
        <v>1385</v>
      </c>
      <c r="B298" s="15">
        <v>46263</v>
      </c>
      <c r="C298" t="s">
        <v>1337</v>
      </c>
      <c r="D298" t="s">
        <v>696</v>
      </c>
      <c r="E298" t="s">
        <v>37</v>
      </c>
      <c r="F298" t="s">
        <v>1086</v>
      </c>
      <c r="G298" t="s">
        <v>1093</v>
      </c>
      <c r="H298" s="16">
        <v>2</v>
      </c>
      <c r="I298" t="s">
        <v>53</v>
      </c>
      <c r="J298" s="16">
        <v>1</v>
      </c>
    </row>
    <row r="299" spans="1:10">
      <c r="A299" t="s">
        <v>1386</v>
      </c>
      <c r="B299" s="15">
        <v>46269</v>
      </c>
      <c r="C299" t="s">
        <v>1337</v>
      </c>
      <c r="D299" t="s">
        <v>940</v>
      </c>
      <c r="E299" t="s">
        <v>396</v>
      </c>
      <c r="F299" t="s">
        <v>1084</v>
      </c>
      <c r="G299" t="s">
        <v>1093</v>
      </c>
      <c r="H299" s="16">
        <v>6</v>
      </c>
      <c r="I299" t="s">
        <v>53</v>
      </c>
      <c r="J299" s="16">
        <v>4</v>
      </c>
    </row>
    <row r="300" spans="1:10">
      <c r="A300" t="s">
        <v>1387</v>
      </c>
      <c r="B300" s="15">
        <v>46289</v>
      </c>
      <c r="C300" t="s">
        <v>1337</v>
      </c>
      <c r="D300" t="s">
        <v>782</v>
      </c>
      <c r="E300" t="s">
        <v>231</v>
      </c>
      <c r="F300" t="s">
        <v>1081</v>
      </c>
      <c r="G300" t="s">
        <v>1082</v>
      </c>
      <c r="H300" s="16">
        <v>7</v>
      </c>
      <c r="I300" t="s">
        <v>53</v>
      </c>
      <c r="J300" s="16">
        <v>2</v>
      </c>
    </row>
    <row r="301" spans="1:10">
      <c r="A301" t="s">
        <v>1388</v>
      </c>
      <c r="B301" s="15">
        <v>46269</v>
      </c>
      <c r="C301" t="s">
        <v>1337</v>
      </c>
      <c r="D301" t="s">
        <v>619</v>
      </c>
      <c r="E301" t="s">
        <v>37</v>
      </c>
      <c r="F301" t="s">
        <v>1086</v>
      </c>
      <c r="G301" t="s">
        <v>1093</v>
      </c>
      <c r="H301" s="16">
        <v>9</v>
      </c>
      <c r="I301" t="s">
        <v>41</v>
      </c>
      <c r="J301" s="16">
        <v>2</v>
      </c>
    </row>
    <row r="302" spans="1:10">
      <c r="A302" t="s">
        <v>1389</v>
      </c>
      <c r="B302" s="15">
        <v>46243</v>
      </c>
      <c r="C302" t="s">
        <v>1337</v>
      </c>
      <c r="D302" t="s">
        <v>911</v>
      </c>
      <c r="E302" t="s">
        <v>231</v>
      </c>
      <c r="F302" t="s">
        <v>1084</v>
      </c>
      <c r="G302" t="s">
        <v>1082</v>
      </c>
      <c r="H302" s="16">
        <v>6</v>
      </c>
      <c r="I302" t="s">
        <v>41</v>
      </c>
      <c r="J302" s="16">
        <v>2</v>
      </c>
    </row>
    <row r="303" spans="1:10">
      <c r="A303" t="s">
        <v>1390</v>
      </c>
      <c r="B303" s="15">
        <v>46294</v>
      </c>
      <c r="C303" t="s">
        <v>1337</v>
      </c>
      <c r="D303" t="s">
        <v>955</v>
      </c>
      <c r="E303" t="s">
        <v>396</v>
      </c>
      <c r="F303" t="s">
        <v>1086</v>
      </c>
      <c r="G303" t="s">
        <v>1082</v>
      </c>
      <c r="H303" s="16">
        <v>4</v>
      </c>
      <c r="I303" t="s">
        <v>53</v>
      </c>
      <c r="J303" s="16">
        <v>2</v>
      </c>
    </row>
    <row r="304" spans="1:10">
      <c r="A304" t="s">
        <v>1391</v>
      </c>
      <c r="B304" s="15">
        <v>46220</v>
      </c>
      <c r="C304" t="s">
        <v>1337</v>
      </c>
      <c r="D304" t="s">
        <v>954</v>
      </c>
      <c r="E304" t="s">
        <v>396</v>
      </c>
      <c r="F304" t="s">
        <v>1086</v>
      </c>
      <c r="G304" t="s">
        <v>1091</v>
      </c>
      <c r="H304" s="16">
        <v>11</v>
      </c>
      <c r="I304" t="s">
        <v>53</v>
      </c>
      <c r="J304" s="16">
        <v>3</v>
      </c>
    </row>
    <row r="305" spans="1:10">
      <c r="A305" t="s">
        <v>1392</v>
      </c>
      <c r="B305" s="15">
        <v>46292</v>
      </c>
      <c r="C305" t="s">
        <v>1337</v>
      </c>
      <c r="D305" t="s">
        <v>622</v>
      </c>
      <c r="E305" t="s">
        <v>37</v>
      </c>
      <c r="F305" t="s">
        <v>1081</v>
      </c>
      <c r="G305" t="s">
        <v>1093</v>
      </c>
      <c r="H305" s="16">
        <v>8</v>
      </c>
      <c r="I305" t="s">
        <v>53</v>
      </c>
      <c r="J305" s="16">
        <v>2</v>
      </c>
    </row>
    <row r="306" spans="1:10">
      <c r="A306" t="s">
        <v>1393</v>
      </c>
      <c r="B306" s="15">
        <v>46289</v>
      </c>
      <c r="C306" t="s">
        <v>1337</v>
      </c>
      <c r="D306" t="s">
        <v>712</v>
      </c>
      <c r="E306" t="s">
        <v>37</v>
      </c>
      <c r="F306" t="s">
        <v>1084</v>
      </c>
      <c r="G306" t="s">
        <v>1082</v>
      </c>
      <c r="H306" s="16">
        <v>6</v>
      </c>
      <c r="I306" t="s">
        <v>53</v>
      </c>
      <c r="J306" s="16">
        <v>4</v>
      </c>
    </row>
    <row r="307" spans="1:10">
      <c r="A307" t="s">
        <v>1394</v>
      </c>
      <c r="B307" s="15">
        <v>46230</v>
      </c>
      <c r="C307" t="s">
        <v>1337</v>
      </c>
      <c r="D307" t="s">
        <v>662</v>
      </c>
      <c r="E307" t="s">
        <v>37</v>
      </c>
      <c r="F307" t="s">
        <v>1081</v>
      </c>
      <c r="G307" t="s">
        <v>1082</v>
      </c>
      <c r="H307" s="16">
        <v>4</v>
      </c>
      <c r="I307" t="s">
        <v>53</v>
      </c>
      <c r="J307" s="16">
        <v>4</v>
      </c>
    </row>
    <row r="308" spans="1:10">
      <c r="A308" t="s">
        <v>1395</v>
      </c>
      <c r="B308" s="15">
        <v>46208</v>
      </c>
      <c r="C308" t="s">
        <v>1337</v>
      </c>
      <c r="D308" t="s">
        <v>805</v>
      </c>
      <c r="E308" t="s">
        <v>231</v>
      </c>
      <c r="F308" t="s">
        <v>1090</v>
      </c>
      <c r="G308" t="s">
        <v>1093</v>
      </c>
      <c r="H308" s="16">
        <v>5</v>
      </c>
      <c r="I308" t="s">
        <v>53</v>
      </c>
      <c r="J308" s="16">
        <v>1</v>
      </c>
    </row>
    <row r="309" spans="1:10">
      <c r="A309" t="s">
        <v>1396</v>
      </c>
      <c r="B309" s="15">
        <v>46288</v>
      </c>
      <c r="C309" t="s">
        <v>1337</v>
      </c>
      <c r="D309" t="s">
        <v>842</v>
      </c>
      <c r="E309" t="s">
        <v>231</v>
      </c>
      <c r="F309" t="s">
        <v>1081</v>
      </c>
      <c r="G309" t="s">
        <v>1082</v>
      </c>
      <c r="H309" s="16">
        <v>8</v>
      </c>
      <c r="I309" t="s">
        <v>41</v>
      </c>
      <c r="J309" s="16">
        <v>3</v>
      </c>
    </row>
    <row r="310" spans="1:10">
      <c r="A310" t="s">
        <v>1397</v>
      </c>
      <c r="B310" s="15">
        <v>46294</v>
      </c>
      <c r="C310" t="s">
        <v>1337</v>
      </c>
      <c r="D310" t="s">
        <v>1024</v>
      </c>
      <c r="E310" t="s">
        <v>396</v>
      </c>
      <c r="F310" t="s">
        <v>1090</v>
      </c>
      <c r="G310" t="s">
        <v>1093</v>
      </c>
      <c r="H310" s="16">
        <v>8</v>
      </c>
      <c r="I310" t="s">
        <v>41</v>
      </c>
      <c r="J310" s="16">
        <v>4</v>
      </c>
    </row>
    <row r="311" spans="1:10">
      <c r="A311" t="s">
        <v>1398</v>
      </c>
      <c r="B311" s="15">
        <v>46293</v>
      </c>
      <c r="C311" t="s">
        <v>1337</v>
      </c>
      <c r="D311" t="s">
        <v>588</v>
      </c>
      <c r="E311" t="s">
        <v>37</v>
      </c>
      <c r="F311" t="s">
        <v>1081</v>
      </c>
      <c r="G311" t="s">
        <v>1093</v>
      </c>
      <c r="H311" s="16">
        <v>4</v>
      </c>
      <c r="I311" t="s">
        <v>41</v>
      </c>
      <c r="J311" s="16">
        <v>3</v>
      </c>
    </row>
    <row r="312" spans="1:10">
      <c r="A312" t="s">
        <v>1399</v>
      </c>
      <c r="B312" s="15">
        <v>46246</v>
      </c>
      <c r="C312" t="s">
        <v>1337</v>
      </c>
      <c r="D312" t="s">
        <v>953</v>
      </c>
      <c r="E312" t="s">
        <v>396</v>
      </c>
      <c r="F312" t="s">
        <v>1086</v>
      </c>
      <c r="G312" t="s">
        <v>1091</v>
      </c>
      <c r="H312" s="16">
        <v>8</v>
      </c>
      <c r="I312" t="s">
        <v>53</v>
      </c>
      <c r="J312" s="16">
        <v>3</v>
      </c>
    </row>
    <row r="313" spans="1:10">
      <c r="A313" t="s">
        <v>1400</v>
      </c>
      <c r="B313" s="15">
        <v>46281</v>
      </c>
      <c r="C313" t="s">
        <v>1337</v>
      </c>
      <c r="D313" t="s">
        <v>667</v>
      </c>
      <c r="E313" t="s">
        <v>37</v>
      </c>
      <c r="F313" t="s">
        <v>1084</v>
      </c>
      <c r="G313" t="s">
        <v>1091</v>
      </c>
      <c r="H313" s="16">
        <v>1</v>
      </c>
      <c r="I313" t="s">
        <v>53</v>
      </c>
      <c r="J313" s="16">
        <v>3</v>
      </c>
    </row>
    <row r="314" spans="1:10">
      <c r="A314" t="s">
        <v>1401</v>
      </c>
      <c r="B314" s="15">
        <v>46284</v>
      </c>
      <c r="C314" t="s">
        <v>1337</v>
      </c>
      <c r="D314" t="s">
        <v>633</v>
      </c>
      <c r="E314" t="s">
        <v>37</v>
      </c>
      <c r="F314" t="s">
        <v>1090</v>
      </c>
      <c r="G314" t="s">
        <v>1097</v>
      </c>
      <c r="H314" s="16">
        <v>10</v>
      </c>
      <c r="I314" t="s">
        <v>53</v>
      </c>
      <c r="J314" s="16">
        <v>1</v>
      </c>
    </row>
    <row r="315" spans="1:10">
      <c r="A315" t="s">
        <v>1402</v>
      </c>
      <c r="B315" s="15">
        <v>46247</v>
      </c>
      <c r="C315" t="s">
        <v>1337</v>
      </c>
      <c r="D315" t="s">
        <v>916</v>
      </c>
      <c r="E315" t="s">
        <v>396</v>
      </c>
      <c r="F315" t="s">
        <v>1081</v>
      </c>
      <c r="G315" t="s">
        <v>1093</v>
      </c>
      <c r="H315" s="16">
        <v>4</v>
      </c>
      <c r="I315" t="s">
        <v>41</v>
      </c>
      <c r="J315" s="16">
        <v>2</v>
      </c>
    </row>
    <row r="316" spans="1:10">
      <c r="A316" t="s">
        <v>1403</v>
      </c>
      <c r="B316" s="15">
        <v>46246</v>
      </c>
      <c r="C316" t="s">
        <v>1337</v>
      </c>
      <c r="D316" t="s">
        <v>1045</v>
      </c>
      <c r="E316" t="s">
        <v>396</v>
      </c>
      <c r="F316" t="s">
        <v>1081</v>
      </c>
      <c r="G316" t="s">
        <v>1091</v>
      </c>
      <c r="H316" s="16">
        <v>7</v>
      </c>
      <c r="I316" t="s">
        <v>53</v>
      </c>
      <c r="J316" s="16">
        <v>2</v>
      </c>
    </row>
    <row r="317" spans="1:10">
      <c r="A317" t="s">
        <v>1404</v>
      </c>
      <c r="B317" s="15">
        <v>46279</v>
      </c>
      <c r="C317" t="s">
        <v>1337</v>
      </c>
      <c r="D317" t="s">
        <v>966</v>
      </c>
      <c r="E317" t="s">
        <v>396</v>
      </c>
      <c r="F317" t="s">
        <v>1081</v>
      </c>
      <c r="G317" t="s">
        <v>1082</v>
      </c>
      <c r="H317" s="16">
        <v>1</v>
      </c>
      <c r="I317" t="s">
        <v>53</v>
      </c>
      <c r="J317" s="16">
        <v>3</v>
      </c>
    </row>
    <row r="318" spans="1:10">
      <c r="A318" t="s">
        <v>1405</v>
      </c>
      <c r="B318" s="15">
        <v>46279</v>
      </c>
      <c r="C318" t="s">
        <v>1337</v>
      </c>
      <c r="D318" t="s">
        <v>681</v>
      </c>
      <c r="E318" t="s">
        <v>37</v>
      </c>
      <c r="F318" t="s">
        <v>1090</v>
      </c>
      <c r="G318" t="s">
        <v>1082</v>
      </c>
      <c r="H318" s="16">
        <v>11</v>
      </c>
      <c r="I318" t="s">
        <v>53</v>
      </c>
      <c r="J318" s="16">
        <v>4</v>
      </c>
    </row>
    <row r="319" spans="1:10">
      <c r="A319" t="s">
        <v>1406</v>
      </c>
      <c r="B319" s="15">
        <v>46209</v>
      </c>
      <c r="C319" t="s">
        <v>1337</v>
      </c>
      <c r="D319" t="s">
        <v>988</v>
      </c>
      <c r="E319" t="s">
        <v>396</v>
      </c>
      <c r="F319" t="s">
        <v>1086</v>
      </c>
      <c r="G319" t="s">
        <v>1082</v>
      </c>
      <c r="H319" s="16">
        <v>5</v>
      </c>
      <c r="I319" t="s">
        <v>41</v>
      </c>
      <c r="J319" s="16">
        <v>3</v>
      </c>
    </row>
    <row r="320" spans="1:10">
      <c r="A320" t="s">
        <v>1407</v>
      </c>
      <c r="B320" s="15">
        <v>46257</v>
      </c>
      <c r="C320" t="s">
        <v>1337</v>
      </c>
      <c r="D320" t="s">
        <v>659</v>
      </c>
      <c r="E320" t="s">
        <v>37</v>
      </c>
      <c r="F320" t="s">
        <v>1086</v>
      </c>
      <c r="G320" t="s">
        <v>1082</v>
      </c>
      <c r="H320" s="16">
        <v>4</v>
      </c>
      <c r="I320" t="s">
        <v>41</v>
      </c>
      <c r="J320" s="16">
        <v>3</v>
      </c>
    </row>
    <row r="321" spans="1:10">
      <c r="A321" t="s">
        <v>1408</v>
      </c>
      <c r="B321" s="15">
        <v>46244</v>
      </c>
      <c r="C321" t="s">
        <v>1337</v>
      </c>
      <c r="D321" t="s">
        <v>1067</v>
      </c>
      <c r="E321" t="s">
        <v>396</v>
      </c>
      <c r="F321" t="s">
        <v>1086</v>
      </c>
      <c r="G321" t="s">
        <v>1097</v>
      </c>
      <c r="H321" s="16">
        <v>8</v>
      </c>
      <c r="I321" t="s">
        <v>53</v>
      </c>
      <c r="J321" s="16">
        <v>2</v>
      </c>
    </row>
    <row r="322" spans="1:10">
      <c r="A322" t="s">
        <v>1409</v>
      </c>
      <c r="B322" s="15">
        <v>46289</v>
      </c>
      <c r="C322" t="s">
        <v>1337</v>
      </c>
      <c r="D322" t="s">
        <v>689</v>
      </c>
      <c r="E322" t="s">
        <v>37</v>
      </c>
      <c r="F322" t="s">
        <v>1086</v>
      </c>
      <c r="G322" t="s">
        <v>1082</v>
      </c>
      <c r="H322" s="16">
        <v>6</v>
      </c>
      <c r="I322" t="s">
        <v>41</v>
      </c>
      <c r="J322" s="16">
        <v>2</v>
      </c>
    </row>
    <row r="323" spans="1:10">
      <c r="A323" t="s">
        <v>1410</v>
      </c>
      <c r="B323" s="15">
        <v>46233</v>
      </c>
      <c r="C323" t="s">
        <v>1337</v>
      </c>
      <c r="D323" t="s">
        <v>926</v>
      </c>
      <c r="E323" t="s">
        <v>396</v>
      </c>
      <c r="F323" t="s">
        <v>1084</v>
      </c>
      <c r="G323" t="s">
        <v>1082</v>
      </c>
      <c r="H323" s="16">
        <v>12</v>
      </c>
      <c r="I323" t="s">
        <v>53</v>
      </c>
      <c r="J323" s="16">
        <v>3</v>
      </c>
    </row>
    <row r="324" spans="1:10">
      <c r="A324" t="s">
        <v>1411</v>
      </c>
      <c r="B324" s="15">
        <v>46213</v>
      </c>
      <c r="C324" t="s">
        <v>1337</v>
      </c>
      <c r="D324" t="s">
        <v>611</v>
      </c>
      <c r="E324" t="s">
        <v>37</v>
      </c>
      <c r="F324" t="s">
        <v>1086</v>
      </c>
      <c r="G324" t="s">
        <v>1082</v>
      </c>
      <c r="H324" s="16">
        <v>7</v>
      </c>
      <c r="I324" t="s">
        <v>53</v>
      </c>
      <c r="J324" s="16">
        <v>1</v>
      </c>
    </row>
    <row r="325" spans="1:10">
      <c r="A325" t="s">
        <v>1412</v>
      </c>
      <c r="B325" s="15">
        <v>46206</v>
      </c>
      <c r="C325" t="s">
        <v>1337</v>
      </c>
      <c r="D325" t="s">
        <v>869</v>
      </c>
      <c r="E325" t="s">
        <v>231</v>
      </c>
      <c r="F325" t="s">
        <v>1090</v>
      </c>
      <c r="G325" t="s">
        <v>1082</v>
      </c>
      <c r="H325" s="16">
        <v>5</v>
      </c>
      <c r="I325" t="s">
        <v>41</v>
      </c>
      <c r="J325" s="16">
        <v>3</v>
      </c>
    </row>
    <row r="326" spans="1:10">
      <c r="A326" t="s">
        <v>1413</v>
      </c>
      <c r="B326" s="15">
        <v>46288</v>
      </c>
      <c r="C326" t="s">
        <v>1337</v>
      </c>
      <c r="D326" t="s">
        <v>554</v>
      </c>
      <c r="E326" t="s">
        <v>37</v>
      </c>
      <c r="F326" t="s">
        <v>1081</v>
      </c>
      <c r="G326" t="s">
        <v>1093</v>
      </c>
      <c r="H326" s="16">
        <v>6</v>
      </c>
      <c r="I326" t="s">
        <v>41</v>
      </c>
      <c r="J326" s="16">
        <v>3</v>
      </c>
    </row>
    <row r="327" spans="1:10">
      <c r="A327" t="s">
        <v>1414</v>
      </c>
      <c r="B327" s="15">
        <v>46288</v>
      </c>
      <c r="C327" t="s">
        <v>1337</v>
      </c>
      <c r="D327" t="s">
        <v>682</v>
      </c>
      <c r="E327" t="s">
        <v>37</v>
      </c>
      <c r="F327" t="s">
        <v>1081</v>
      </c>
      <c r="G327" t="s">
        <v>1082</v>
      </c>
      <c r="H327" s="16">
        <v>2</v>
      </c>
      <c r="I327" t="s">
        <v>53</v>
      </c>
      <c r="J327" s="16">
        <v>3</v>
      </c>
    </row>
    <row r="328" spans="1:10">
      <c r="A328" t="s">
        <v>1415</v>
      </c>
      <c r="B328" s="15">
        <v>46246</v>
      </c>
      <c r="C328" t="s">
        <v>1337</v>
      </c>
      <c r="D328" t="s">
        <v>786</v>
      </c>
      <c r="E328" t="s">
        <v>231</v>
      </c>
      <c r="F328" t="s">
        <v>1090</v>
      </c>
      <c r="G328" t="s">
        <v>1082</v>
      </c>
      <c r="H328" s="16">
        <v>8</v>
      </c>
      <c r="I328" t="s">
        <v>41</v>
      </c>
      <c r="J328" s="16">
        <v>3</v>
      </c>
    </row>
    <row r="329" spans="1:10">
      <c r="A329" t="s">
        <v>1416</v>
      </c>
      <c r="B329" s="15">
        <v>46258</v>
      </c>
      <c r="C329" t="s">
        <v>1337</v>
      </c>
      <c r="D329" t="s">
        <v>561</v>
      </c>
      <c r="E329" t="s">
        <v>37</v>
      </c>
      <c r="F329" t="s">
        <v>1086</v>
      </c>
      <c r="G329" t="s">
        <v>1082</v>
      </c>
      <c r="H329" s="16">
        <v>8</v>
      </c>
      <c r="I329" t="s">
        <v>53</v>
      </c>
      <c r="J329" s="16">
        <v>4</v>
      </c>
    </row>
    <row r="330" spans="1:10">
      <c r="A330" t="s">
        <v>1417</v>
      </c>
      <c r="B330" s="15">
        <v>46237</v>
      </c>
      <c r="C330" t="s">
        <v>1337</v>
      </c>
      <c r="D330" t="s">
        <v>584</v>
      </c>
      <c r="E330" t="s">
        <v>37</v>
      </c>
      <c r="F330" t="s">
        <v>1086</v>
      </c>
      <c r="G330" t="s">
        <v>1082</v>
      </c>
      <c r="H330" s="16">
        <v>7</v>
      </c>
      <c r="I330" t="s">
        <v>53</v>
      </c>
      <c r="J330" s="16">
        <v>4</v>
      </c>
    </row>
    <row r="331" spans="1:10">
      <c r="A331" t="s">
        <v>1418</v>
      </c>
      <c r="B331" s="15">
        <v>46224</v>
      </c>
      <c r="C331" t="s">
        <v>1337</v>
      </c>
      <c r="D331" t="s">
        <v>1025</v>
      </c>
      <c r="E331" t="s">
        <v>396</v>
      </c>
      <c r="F331" t="s">
        <v>1086</v>
      </c>
      <c r="G331" t="s">
        <v>1093</v>
      </c>
      <c r="H331" s="16">
        <v>9</v>
      </c>
      <c r="I331" t="s">
        <v>53</v>
      </c>
      <c r="J331" s="16">
        <v>3</v>
      </c>
    </row>
    <row r="332" spans="1:10">
      <c r="A332" t="s">
        <v>1419</v>
      </c>
      <c r="B332" s="15">
        <v>46273</v>
      </c>
      <c r="C332" t="s">
        <v>1337</v>
      </c>
      <c r="D332" t="s">
        <v>1056</v>
      </c>
      <c r="E332" t="s">
        <v>396</v>
      </c>
      <c r="F332" t="s">
        <v>1090</v>
      </c>
      <c r="G332" t="s">
        <v>1082</v>
      </c>
      <c r="H332" s="16">
        <v>7</v>
      </c>
      <c r="I332" t="s">
        <v>41</v>
      </c>
      <c r="J332" s="16">
        <v>2</v>
      </c>
    </row>
    <row r="333" spans="1:10">
      <c r="A333" t="s">
        <v>1420</v>
      </c>
      <c r="B333" s="15">
        <v>46219</v>
      </c>
      <c r="C333" t="s">
        <v>1337</v>
      </c>
      <c r="D333" t="s">
        <v>540</v>
      </c>
      <c r="E333" t="s">
        <v>37</v>
      </c>
      <c r="F333" t="s">
        <v>1081</v>
      </c>
      <c r="G333" t="s">
        <v>1093</v>
      </c>
      <c r="H333" s="16">
        <v>7</v>
      </c>
      <c r="I333" t="s">
        <v>53</v>
      </c>
      <c r="J333" s="16">
        <v>2</v>
      </c>
    </row>
    <row r="334" spans="1:10">
      <c r="A334" t="s">
        <v>1421</v>
      </c>
      <c r="B334" s="15">
        <v>46226</v>
      </c>
      <c r="C334" t="s">
        <v>1337</v>
      </c>
      <c r="D334" t="s">
        <v>570</v>
      </c>
      <c r="E334" t="s">
        <v>37</v>
      </c>
      <c r="F334" t="s">
        <v>1084</v>
      </c>
      <c r="G334" t="s">
        <v>1097</v>
      </c>
      <c r="H334" s="16">
        <v>10</v>
      </c>
      <c r="I334" t="s">
        <v>53</v>
      </c>
      <c r="J334" s="16">
        <v>2</v>
      </c>
    </row>
    <row r="335" spans="1:10">
      <c r="A335" t="s">
        <v>1422</v>
      </c>
      <c r="B335" s="15">
        <v>46272</v>
      </c>
      <c r="C335" t="s">
        <v>1337</v>
      </c>
      <c r="D335" t="s">
        <v>660</v>
      </c>
      <c r="E335" t="s">
        <v>37</v>
      </c>
      <c r="F335" t="s">
        <v>1081</v>
      </c>
      <c r="G335" t="s">
        <v>1093</v>
      </c>
      <c r="H335" s="16">
        <v>8</v>
      </c>
      <c r="I335" t="s">
        <v>53</v>
      </c>
      <c r="J335" s="16">
        <v>3</v>
      </c>
    </row>
    <row r="336" spans="1:10">
      <c r="A336" t="s">
        <v>1423</v>
      </c>
      <c r="B336" s="15">
        <v>46215</v>
      </c>
      <c r="C336" t="s">
        <v>1337</v>
      </c>
      <c r="D336" t="s">
        <v>1006</v>
      </c>
      <c r="E336" t="s">
        <v>396</v>
      </c>
      <c r="F336" t="s">
        <v>1081</v>
      </c>
      <c r="G336" t="s">
        <v>1082</v>
      </c>
      <c r="H336" s="16">
        <v>3</v>
      </c>
      <c r="I336" t="s">
        <v>41</v>
      </c>
      <c r="J336" s="16">
        <v>2</v>
      </c>
    </row>
    <row r="337" spans="1:10">
      <c r="A337" t="s">
        <v>1424</v>
      </c>
      <c r="B337" s="15">
        <v>46236</v>
      </c>
      <c r="C337" t="s">
        <v>1337</v>
      </c>
      <c r="D337" t="s">
        <v>920</v>
      </c>
      <c r="E337" t="s">
        <v>396</v>
      </c>
      <c r="F337" t="s">
        <v>1084</v>
      </c>
      <c r="G337" t="s">
        <v>1082</v>
      </c>
      <c r="H337" s="16">
        <v>7</v>
      </c>
      <c r="I337" t="s">
        <v>41</v>
      </c>
      <c r="J337" s="16">
        <v>3</v>
      </c>
    </row>
    <row r="338" spans="1:10">
      <c r="A338" t="s">
        <v>1425</v>
      </c>
      <c r="B338" s="15">
        <v>46224</v>
      </c>
      <c r="C338" t="s">
        <v>1337</v>
      </c>
      <c r="D338" t="s">
        <v>578</v>
      </c>
      <c r="E338" t="s">
        <v>37</v>
      </c>
      <c r="F338" t="s">
        <v>1086</v>
      </c>
      <c r="G338" t="s">
        <v>1097</v>
      </c>
      <c r="H338" s="16">
        <v>2</v>
      </c>
      <c r="I338" t="s">
        <v>53</v>
      </c>
      <c r="J338" s="16">
        <v>1</v>
      </c>
    </row>
    <row r="339" spans="1:10">
      <c r="A339" t="s">
        <v>1426</v>
      </c>
      <c r="B339" s="15">
        <v>46272</v>
      </c>
      <c r="C339" t="s">
        <v>1337</v>
      </c>
      <c r="D339" t="s">
        <v>590</v>
      </c>
      <c r="E339" t="s">
        <v>37</v>
      </c>
      <c r="F339" t="s">
        <v>1081</v>
      </c>
      <c r="G339" t="s">
        <v>1082</v>
      </c>
      <c r="H339" s="16">
        <v>2</v>
      </c>
      <c r="I339" t="s">
        <v>53</v>
      </c>
      <c r="J339" s="16">
        <v>4</v>
      </c>
    </row>
    <row r="340" spans="1:10">
      <c r="A340" t="s">
        <v>1427</v>
      </c>
      <c r="B340" s="15">
        <v>46259</v>
      </c>
      <c r="C340" t="s">
        <v>1337</v>
      </c>
      <c r="D340" t="s">
        <v>567</v>
      </c>
      <c r="E340" t="s">
        <v>37</v>
      </c>
      <c r="F340" t="s">
        <v>1081</v>
      </c>
      <c r="G340" t="s">
        <v>1082</v>
      </c>
      <c r="H340" s="16">
        <v>10</v>
      </c>
      <c r="I340" t="s">
        <v>53</v>
      </c>
      <c r="J340" s="16">
        <v>3</v>
      </c>
    </row>
    <row r="341" spans="1:10">
      <c r="A341" t="s">
        <v>1428</v>
      </c>
      <c r="B341" s="15">
        <v>46231</v>
      </c>
      <c r="C341" t="s">
        <v>1337</v>
      </c>
      <c r="D341" t="s">
        <v>958</v>
      </c>
      <c r="E341" t="s">
        <v>396</v>
      </c>
      <c r="F341" t="s">
        <v>1090</v>
      </c>
      <c r="G341" t="s">
        <v>1093</v>
      </c>
      <c r="H341" s="16">
        <v>5</v>
      </c>
      <c r="I341" t="s">
        <v>53</v>
      </c>
      <c r="J341" s="16">
        <v>3</v>
      </c>
    </row>
    <row r="342" spans="1:10">
      <c r="A342" t="s">
        <v>1429</v>
      </c>
      <c r="B342" s="15">
        <v>46233</v>
      </c>
      <c r="C342" t="s">
        <v>1337</v>
      </c>
      <c r="D342" t="s">
        <v>909</v>
      </c>
      <c r="E342" t="s">
        <v>231</v>
      </c>
      <c r="F342" t="s">
        <v>1081</v>
      </c>
      <c r="G342" t="s">
        <v>1082</v>
      </c>
      <c r="H342" s="16">
        <v>4</v>
      </c>
      <c r="I342" t="s">
        <v>53</v>
      </c>
      <c r="J342" s="16">
        <v>1</v>
      </c>
    </row>
    <row r="343" spans="1:10">
      <c r="A343" t="s">
        <v>1430</v>
      </c>
      <c r="B343" s="15">
        <v>46262</v>
      </c>
      <c r="C343" t="s">
        <v>1337</v>
      </c>
      <c r="D343" t="s">
        <v>840</v>
      </c>
      <c r="E343" t="s">
        <v>231</v>
      </c>
      <c r="F343" t="s">
        <v>1081</v>
      </c>
      <c r="G343" t="s">
        <v>1097</v>
      </c>
      <c r="H343" s="16">
        <v>3</v>
      </c>
      <c r="I343" t="s">
        <v>41</v>
      </c>
      <c r="J343" s="16">
        <v>3</v>
      </c>
    </row>
    <row r="344" spans="1:10">
      <c r="A344" t="s">
        <v>1431</v>
      </c>
      <c r="B344" s="15">
        <v>46204</v>
      </c>
      <c r="C344" t="s">
        <v>1337</v>
      </c>
      <c r="D344" t="s">
        <v>687</v>
      </c>
      <c r="E344" t="s">
        <v>37</v>
      </c>
      <c r="F344" t="s">
        <v>1086</v>
      </c>
      <c r="G344" t="s">
        <v>1082</v>
      </c>
      <c r="H344" s="16">
        <v>3</v>
      </c>
      <c r="I344" t="s">
        <v>53</v>
      </c>
      <c r="J344" s="16">
        <v>2</v>
      </c>
    </row>
    <row r="345" spans="1:10">
      <c r="A345" t="s">
        <v>1432</v>
      </c>
      <c r="B345" s="15">
        <v>46287</v>
      </c>
      <c r="C345" t="s">
        <v>1337</v>
      </c>
      <c r="D345" t="s">
        <v>1002</v>
      </c>
      <c r="E345" t="s">
        <v>396</v>
      </c>
      <c r="F345" t="s">
        <v>1086</v>
      </c>
      <c r="G345" t="s">
        <v>1082</v>
      </c>
      <c r="H345" s="16">
        <v>10</v>
      </c>
      <c r="I345" t="s">
        <v>41</v>
      </c>
      <c r="J345" s="16">
        <v>2</v>
      </c>
    </row>
    <row r="346" spans="1:10">
      <c r="A346" t="s">
        <v>1433</v>
      </c>
      <c r="B346" s="15">
        <v>46221</v>
      </c>
      <c r="C346" t="s">
        <v>1337</v>
      </c>
      <c r="D346" t="s">
        <v>565</v>
      </c>
      <c r="E346" t="s">
        <v>37</v>
      </c>
      <c r="F346" t="s">
        <v>1086</v>
      </c>
      <c r="G346" t="s">
        <v>1082</v>
      </c>
      <c r="H346" s="16">
        <v>10</v>
      </c>
      <c r="I346" t="s">
        <v>41</v>
      </c>
      <c r="J346" s="16">
        <v>1</v>
      </c>
    </row>
    <row r="347" spans="1:10">
      <c r="A347" t="s">
        <v>1434</v>
      </c>
      <c r="B347" s="15">
        <v>46279</v>
      </c>
      <c r="C347" t="s">
        <v>1337</v>
      </c>
      <c r="D347" t="s">
        <v>575</v>
      </c>
      <c r="E347" t="s">
        <v>37</v>
      </c>
      <c r="F347" t="s">
        <v>1084</v>
      </c>
      <c r="G347" t="s">
        <v>1082</v>
      </c>
      <c r="H347" s="16">
        <v>1</v>
      </c>
      <c r="I347" t="s">
        <v>53</v>
      </c>
      <c r="J347" s="16">
        <v>1</v>
      </c>
    </row>
    <row r="348" spans="1:10">
      <c r="A348" t="s">
        <v>1435</v>
      </c>
      <c r="B348" s="15">
        <v>46283</v>
      </c>
      <c r="C348" t="s">
        <v>1337</v>
      </c>
      <c r="D348" t="s">
        <v>924</v>
      </c>
      <c r="E348" t="s">
        <v>396</v>
      </c>
      <c r="F348" t="s">
        <v>1084</v>
      </c>
      <c r="G348" t="s">
        <v>1082</v>
      </c>
      <c r="H348" s="16">
        <v>4</v>
      </c>
      <c r="I348" t="s">
        <v>53</v>
      </c>
      <c r="J348" s="16">
        <v>1</v>
      </c>
    </row>
    <row r="349" spans="1:10">
      <c r="A349" t="s">
        <v>1436</v>
      </c>
      <c r="B349" s="15">
        <v>46243</v>
      </c>
      <c r="C349" t="s">
        <v>1337</v>
      </c>
      <c r="D349" t="s">
        <v>1053</v>
      </c>
      <c r="E349" t="s">
        <v>396</v>
      </c>
      <c r="F349" t="s">
        <v>1086</v>
      </c>
      <c r="G349" t="s">
        <v>1093</v>
      </c>
      <c r="H349" s="16">
        <v>5</v>
      </c>
      <c r="I349" t="s">
        <v>53</v>
      </c>
      <c r="J349" s="16">
        <v>2</v>
      </c>
    </row>
    <row r="350" spans="1:10">
      <c r="A350" t="s">
        <v>1437</v>
      </c>
      <c r="B350" s="15">
        <v>46289</v>
      </c>
      <c r="C350" t="s">
        <v>1337</v>
      </c>
      <c r="D350" t="s">
        <v>576</v>
      </c>
      <c r="E350" t="s">
        <v>37</v>
      </c>
      <c r="F350" t="s">
        <v>1086</v>
      </c>
      <c r="G350" t="s">
        <v>1093</v>
      </c>
      <c r="H350" s="16">
        <v>5</v>
      </c>
      <c r="I350" t="s">
        <v>53</v>
      </c>
      <c r="J350" s="16">
        <v>2</v>
      </c>
    </row>
    <row r="351" spans="1:10">
      <c r="A351" t="s">
        <v>1438</v>
      </c>
      <c r="B351" s="15">
        <v>46239</v>
      </c>
      <c r="C351" t="s">
        <v>1337</v>
      </c>
      <c r="D351" t="s">
        <v>628</v>
      </c>
      <c r="E351" t="s">
        <v>37</v>
      </c>
      <c r="F351" t="s">
        <v>1086</v>
      </c>
      <c r="G351" t="s">
        <v>1093</v>
      </c>
      <c r="H351" s="16">
        <v>11</v>
      </c>
      <c r="I351" t="s">
        <v>41</v>
      </c>
      <c r="J351" s="16">
        <v>2</v>
      </c>
    </row>
    <row r="352" spans="1:10">
      <c r="A352" t="s">
        <v>1439</v>
      </c>
      <c r="B352" s="15">
        <v>46243</v>
      </c>
      <c r="C352" t="s">
        <v>1337</v>
      </c>
      <c r="D352" t="s">
        <v>817</v>
      </c>
      <c r="E352" t="s">
        <v>231</v>
      </c>
      <c r="F352" t="s">
        <v>1081</v>
      </c>
      <c r="G352" t="s">
        <v>1093</v>
      </c>
      <c r="H352" s="16">
        <v>13</v>
      </c>
      <c r="I352" t="s">
        <v>53</v>
      </c>
      <c r="J352" s="16">
        <v>3</v>
      </c>
    </row>
    <row r="353" spans="1:10">
      <c r="A353" t="s">
        <v>1440</v>
      </c>
      <c r="B353" s="15">
        <v>46245</v>
      </c>
      <c r="C353" t="s">
        <v>1337</v>
      </c>
      <c r="D353" t="s">
        <v>963</v>
      </c>
      <c r="E353" t="s">
        <v>396</v>
      </c>
      <c r="F353" t="s">
        <v>1090</v>
      </c>
      <c r="G353" t="s">
        <v>1082</v>
      </c>
      <c r="H353" s="16">
        <v>6</v>
      </c>
      <c r="I353" t="s">
        <v>53</v>
      </c>
      <c r="J353" s="16">
        <v>2</v>
      </c>
    </row>
    <row r="354" spans="1:10">
      <c r="A354" t="s">
        <v>1441</v>
      </c>
      <c r="B354" s="15">
        <v>46250</v>
      </c>
      <c r="C354" t="s">
        <v>1337</v>
      </c>
      <c r="D354" t="s">
        <v>945</v>
      </c>
      <c r="E354" t="s">
        <v>396</v>
      </c>
      <c r="F354" t="s">
        <v>1086</v>
      </c>
      <c r="G354" t="s">
        <v>1093</v>
      </c>
      <c r="H354" s="16">
        <v>10</v>
      </c>
      <c r="I354" t="s">
        <v>53</v>
      </c>
      <c r="J354" s="16">
        <v>1</v>
      </c>
    </row>
    <row r="355" spans="1:10">
      <c r="A355" t="s">
        <v>1442</v>
      </c>
      <c r="B355" s="15">
        <v>46244</v>
      </c>
      <c r="C355" t="s">
        <v>1337</v>
      </c>
      <c r="D355" t="s">
        <v>772</v>
      </c>
      <c r="E355" t="s">
        <v>231</v>
      </c>
      <c r="F355" t="s">
        <v>1086</v>
      </c>
      <c r="G355" t="s">
        <v>1091</v>
      </c>
      <c r="H355" s="16">
        <v>2</v>
      </c>
      <c r="I355" t="s">
        <v>53</v>
      </c>
      <c r="J355" s="16">
        <v>2</v>
      </c>
    </row>
    <row r="356" spans="1:10">
      <c r="A356" t="s">
        <v>1443</v>
      </c>
      <c r="B356" s="15">
        <v>46243</v>
      </c>
      <c r="C356" t="s">
        <v>1337</v>
      </c>
      <c r="D356" t="s">
        <v>1056</v>
      </c>
      <c r="E356" t="s">
        <v>396</v>
      </c>
      <c r="F356" t="s">
        <v>1084</v>
      </c>
      <c r="G356" t="s">
        <v>1082</v>
      </c>
      <c r="H356" s="16">
        <v>8</v>
      </c>
      <c r="I356" t="s">
        <v>53</v>
      </c>
      <c r="J356" s="16">
        <v>2</v>
      </c>
    </row>
    <row r="357" spans="1:10">
      <c r="A357" t="s">
        <v>1444</v>
      </c>
      <c r="B357" s="15">
        <v>46295</v>
      </c>
      <c r="C357" t="s">
        <v>1337</v>
      </c>
      <c r="D357" t="s">
        <v>1056</v>
      </c>
      <c r="E357" t="s">
        <v>396</v>
      </c>
      <c r="F357" t="s">
        <v>1086</v>
      </c>
      <c r="G357" t="s">
        <v>1093</v>
      </c>
      <c r="H357" s="16">
        <v>11</v>
      </c>
      <c r="I357" t="s">
        <v>41</v>
      </c>
      <c r="J357" s="16">
        <v>1</v>
      </c>
    </row>
    <row r="358" spans="1:10">
      <c r="A358" t="s">
        <v>1445</v>
      </c>
      <c r="B358" s="15">
        <v>46242</v>
      </c>
      <c r="C358" t="s">
        <v>1337</v>
      </c>
      <c r="D358" t="s">
        <v>941</v>
      </c>
      <c r="E358" t="s">
        <v>396</v>
      </c>
      <c r="F358" t="s">
        <v>1090</v>
      </c>
      <c r="G358" t="s">
        <v>1097</v>
      </c>
      <c r="H358" s="16">
        <v>9</v>
      </c>
      <c r="I358" t="s">
        <v>41</v>
      </c>
      <c r="J358" s="16">
        <v>4</v>
      </c>
    </row>
    <row r="359" spans="1:10">
      <c r="A359" t="s">
        <v>1446</v>
      </c>
      <c r="B359" s="15">
        <v>46243</v>
      </c>
      <c r="C359" t="s">
        <v>1337</v>
      </c>
      <c r="D359" t="s">
        <v>848</v>
      </c>
      <c r="E359" t="s">
        <v>231</v>
      </c>
      <c r="F359" t="s">
        <v>1086</v>
      </c>
      <c r="G359" t="s">
        <v>1093</v>
      </c>
      <c r="H359" s="16">
        <v>4</v>
      </c>
      <c r="I359" t="s">
        <v>53</v>
      </c>
      <c r="J359" s="16">
        <v>1</v>
      </c>
    </row>
    <row r="360" spans="1:10">
      <c r="A360" t="s">
        <v>1447</v>
      </c>
      <c r="B360" s="15">
        <v>46279</v>
      </c>
      <c r="C360" t="s">
        <v>1337</v>
      </c>
      <c r="D360" t="s">
        <v>917</v>
      </c>
      <c r="E360" t="s">
        <v>396</v>
      </c>
      <c r="F360" t="s">
        <v>1086</v>
      </c>
      <c r="G360" t="s">
        <v>1091</v>
      </c>
      <c r="H360" s="16">
        <v>4</v>
      </c>
      <c r="I360" t="s">
        <v>53</v>
      </c>
      <c r="J360" s="16">
        <v>1</v>
      </c>
    </row>
    <row r="361" spans="1:10">
      <c r="A361" t="s">
        <v>1448</v>
      </c>
      <c r="B361" s="15">
        <v>46250</v>
      </c>
      <c r="C361" t="s">
        <v>1337</v>
      </c>
      <c r="D361" t="s">
        <v>1019</v>
      </c>
      <c r="E361" t="s">
        <v>396</v>
      </c>
      <c r="F361" t="s">
        <v>1086</v>
      </c>
      <c r="G361" t="s">
        <v>1091</v>
      </c>
      <c r="H361" s="16">
        <v>10</v>
      </c>
      <c r="I361" t="s">
        <v>53</v>
      </c>
      <c r="J361" s="16">
        <v>3</v>
      </c>
    </row>
    <row r="362" spans="1:10">
      <c r="A362" t="s">
        <v>1449</v>
      </c>
      <c r="B362" s="15">
        <v>46214</v>
      </c>
      <c r="C362" t="s">
        <v>1337</v>
      </c>
      <c r="D362" t="s">
        <v>1001</v>
      </c>
      <c r="E362" t="s">
        <v>396</v>
      </c>
      <c r="F362" t="s">
        <v>1086</v>
      </c>
      <c r="G362" t="s">
        <v>1082</v>
      </c>
      <c r="H362" s="16">
        <v>6</v>
      </c>
      <c r="I362" t="s">
        <v>53</v>
      </c>
      <c r="J362" s="16">
        <v>2</v>
      </c>
    </row>
    <row r="363" spans="1:10">
      <c r="A363" t="s">
        <v>1450</v>
      </c>
      <c r="B363" s="15">
        <v>46293</v>
      </c>
      <c r="C363" t="s">
        <v>1337</v>
      </c>
      <c r="D363" t="s">
        <v>767</v>
      </c>
      <c r="E363" t="s">
        <v>231</v>
      </c>
      <c r="F363" t="s">
        <v>1086</v>
      </c>
      <c r="G363" t="s">
        <v>1082</v>
      </c>
      <c r="H363" s="16">
        <v>10</v>
      </c>
      <c r="I363" t="s">
        <v>53</v>
      </c>
      <c r="J363" s="16">
        <v>3</v>
      </c>
    </row>
    <row r="364" spans="1:10">
      <c r="A364" t="s">
        <v>1451</v>
      </c>
      <c r="B364" s="15">
        <v>46291</v>
      </c>
      <c r="C364" t="s">
        <v>1337</v>
      </c>
      <c r="D364" t="s">
        <v>671</v>
      </c>
      <c r="E364" t="s">
        <v>37</v>
      </c>
      <c r="F364" t="s">
        <v>1084</v>
      </c>
      <c r="G364" t="s">
        <v>1093</v>
      </c>
      <c r="H364" s="16">
        <v>8</v>
      </c>
      <c r="I364" t="s">
        <v>53</v>
      </c>
      <c r="J364" s="16">
        <v>2</v>
      </c>
    </row>
    <row r="365" spans="1:10">
      <c r="A365" t="s">
        <v>1452</v>
      </c>
      <c r="B365" s="15">
        <v>46270</v>
      </c>
      <c r="C365" t="s">
        <v>1337</v>
      </c>
      <c r="D365" t="s">
        <v>985</v>
      </c>
      <c r="E365" t="s">
        <v>396</v>
      </c>
      <c r="F365" t="s">
        <v>1081</v>
      </c>
      <c r="G365" t="s">
        <v>1082</v>
      </c>
      <c r="H365" s="16">
        <v>7</v>
      </c>
      <c r="I365" t="s">
        <v>53</v>
      </c>
      <c r="J365" s="16">
        <v>4</v>
      </c>
    </row>
    <row r="366" spans="1:10">
      <c r="A366" t="s">
        <v>1453</v>
      </c>
      <c r="B366" s="15">
        <v>46211</v>
      </c>
      <c r="C366" t="s">
        <v>1337</v>
      </c>
      <c r="D366" t="s">
        <v>851</v>
      </c>
      <c r="E366" t="s">
        <v>231</v>
      </c>
      <c r="F366" t="s">
        <v>1086</v>
      </c>
      <c r="G366" t="s">
        <v>1082</v>
      </c>
      <c r="H366" s="16">
        <v>6</v>
      </c>
      <c r="I366" t="s">
        <v>53</v>
      </c>
      <c r="J366" s="16">
        <v>2</v>
      </c>
    </row>
    <row r="367" spans="1:10">
      <c r="A367" t="s">
        <v>1454</v>
      </c>
      <c r="B367" s="15">
        <v>46271</v>
      </c>
      <c r="C367" t="s">
        <v>1337</v>
      </c>
      <c r="D367" t="s">
        <v>815</v>
      </c>
      <c r="E367" t="s">
        <v>231</v>
      </c>
      <c r="F367" t="s">
        <v>1081</v>
      </c>
      <c r="G367" t="s">
        <v>1082</v>
      </c>
      <c r="H367" s="16">
        <v>2</v>
      </c>
      <c r="I367" t="s">
        <v>53</v>
      </c>
      <c r="J367" s="16">
        <v>2</v>
      </c>
    </row>
    <row r="368" spans="1:10">
      <c r="A368" t="s">
        <v>1455</v>
      </c>
      <c r="B368" s="15">
        <v>46238</v>
      </c>
      <c r="C368" t="s">
        <v>1337</v>
      </c>
      <c r="D368" t="s">
        <v>604</v>
      </c>
      <c r="E368" t="s">
        <v>37</v>
      </c>
      <c r="F368" t="s">
        <v>1086</v>
      </c>
      <c r="G368" t="s">
        <v>1082</v>
      </c>
      <c r="H368" s="16">
        <v>4</v>
      </c>
      <c r="I368" t="s">
        <v>41</v>
      </c>
      <c r="J368" s="16">
        <v>2</v>
      </c>
    </row>
    <row r="369" spans="1:10">
      <c r="A369" t="s">
        <v>1456</v>
      </c>
      <c r="B369" s="15">
        <v>46257</v>
      </c>
      <c r="C369" t="s">
        <v>1337</v>
      </c>
      <c r="D369" t="s">
        <v>606</v>
      </c>
      <c r="E369" t="s">
        <v>37</v>
      </c>
      <c r="F369" t="s">
        <v>1086</v>
      </c>
      <c r="G369" t="s">
        <v>1093</v>
      </c>
      <c r="H369" s="16">
        <v>8</v>
      </c>
      <c r="I369" t="s">
        <v>41</v>
      </c>
      <c r="J369" s="16">
        <v>4</v>
      </c>
    </row>
    <row r="370" spans="1:10">
      <c r="A370" t="s">
        <v>1457</v>
      </c>
      <c r="B370" s="15">
        <v>46236</v>
      </c>
      <c r="C370" t="s">
        <v>1337</v>
      </c>
      <c r="D370" t="s">
        <v>948</v>
      </c>
      <c r="E370" t="s">
        <v>396</v>
      </c>
      <c r="F370" t="s">
        <v>1086</v>
      </c>
      <c r="G370" t="s">
        <v>1093</v>
      </c>
      <c r="H370" s="16">
        <v>1</v>
      </c>
      <c r="I370" t="s">
        <v>53</v>
      </c>
      <c r="J370" s="16">
        <v>2</v>
      </c>
    </row>
    <row r="371" spans="1:10">
      <c r="A371" t="s">
        <v>1458</v>
      </c>
      <c r="B371" s="15">
        <v>46219</v>
      </c>
      <c r="C371" t="s">
        <v>1337</v>
      </c>
      <c r="D371" t="s">
        <v>912</v>
      </c>
      <c r="E371" t="s">
        <v>231</v>
      </c>
      <c r="F371" t="s">
        <v>1086</v>
      </c>
      <c r="G371" t="s">
        <v>1082</v>
      </c>
      <c r="H371" s="16">
        <v>7</v>
      </c>
      <c r="I371" t="s">
        <v>41</v>
      </c>
      <c r="J371" s="16">
        <v>3</v>
      </c>
    </row>
    <row r="372" spans="1:10">
      <c r="A372" t="s">
        <v>1459</v>
      </c>
      <c r="B372" s="15">
        <v>46213</v>
      </c>
      <c r="C372" t="s">
        <v>1337</v>
      </c>
      <c r="D372" t="s">
        <v>716</v>
      </c>
      <c r="E372" t="s">
        <v>37</v>
      </c>
      <c r="F372" t="s">
        <v>1084</v>
      </c>
      <c r="G372" t="s">
        <v>1082</v>
      </c>
      <c r="H372" s="16">
        <v>6</v>
      </c>
      <c r="I372" t="s">
        <v>53</v>
      </c>
      <c r="J372" s="16">
        <v>1</v>
      </c>
    </row>
    <row r="373" spans="1:10">
      <c r="A373" t="s">
        <v>1460</v>
      </c>
      <c r="B373" s="15">
        <v>46218</v>
      </c>
      <c r="C373" t="s">
        <v>1337</v>
      </c>
      <c r="D373" t="s">
        <v>888</v>
      </c>
      <c r="E373" t="s">
        <v>231</v>
      </c>
      <c r="F373" t="s">
        <v>1084</v>
      </c>
      <c r="G373" t="s">
        <v>1082</v>
      </c>
      <c r="H373" s="16">
        <v>5</v>
      </c>
      <c r="I373" t="s">
        <v>41</v>
      </c>
      <c r="J373" s="16">
        <v>2</v>
      </c>
    </row>
    <row r="374" spans="1:10">
      <c r="A374" t="s">
        <v>1461</v>
      </c>
      <c r="B374" s="15">
        <v>46217</v>
      </c>
      <c r="C374" t="s">
        <v>1337</v>
      </c>
      <c r="D374" t="s">
        <v>628</v>
      </c>
      <c r="E374" t="s">
        <v>37</v>
      </c>
      <c r="F374" t="s">
        <v>1086</v>
      </c>
      <c r="G374" t="s">
        <v>1091</v>
      </c>
      <c r="H374" s="16">
        <v>7</v>
      </c>
      <c r="I374" t="s">
        <v>53</v>
      </c>
      <c r="J374" s="16">
        <v>3</v>
      </c>
    </row>
    <row r="375" spans="1:10">
      <c r="A375" t="s">
        <v>1462</v>
      </c>
      <c r="B375" s="15">
        <v>46286</v>
      </c>
      <c r="C375" t="s">
        <v>1337</v>
      </c>
      <c r="D375" t="s">
        <v>772</v>
      </c>
      <c r="E375" t="s">
        <v>231</v>
      </c>
      <c r="F375" t="s">
        <v>1081</v>
      </c>
      <c r="G375" t="s">
        <v>1082</v>
      </c>
      <c r="H375" s="16">
        <v>8</v>
      </c>
      <c r="I375" t="s">
        <v>53</v>
      </c>
      <c r="J375" s="16">
        <v>4</v>
      </c>
    </row>
    <row r="376" spans="1:10">
      <c r="A376" t="s">
        <v>1463</v>
      </c>
      <c r="B376" s="15">
        <v>46239</v>
      </c>
      <c r="C376" t="s">
        <v>1337</v>
      </c>
      <c r="D376" t="s">
        <v>654</v>
      </c>
      <c r="E376" t="s">
        <v>37</v>
      </c>
      <c r="F376" t="s">
        <v>1090</v>
      </c>
      <c r="G376" t="s">
        <v>1093</v>
      </c>
      <c r="H376" s="16">
        <v>5</v>
      </c>
      <c r="I376" t="s">
        <v>53</v>
      </c>
      <c r="J376" s="16">
        <v>4</v>
      </c>
    </row>
    <row r="377" spans="1:10">
      <c r="A377" t="s">
        <v>1464</v>
      </c>
      <c r="B377" s="15">
        <v>46230</v>
      </c>
      <c r="C377" t="s">
        <v>1337</v>
      </c>
      <c r="D377" t="s">
        <v>1015</v>
      </c>
      <c r="E377" t="s">
        <v>396</v>
      </c>
      <c r="F377" t="s">
        <v>1086</v>
      </c>
      <c r="G377" t="s">
        <v>1093</v>
      </c>
      <c r="H377" s="16">
        <v>9</v>
      </c>
      <c r="I377" t="s">
        <v>41</v>
      </c>
      <c r="J377" s="16">
        <v>2</v>
      </c>
    </row>
    <row r="378" spans="1:10">
      <c r="A378" t="s">
        <v>1465</v>
      </c>
      <c r="B378" s="15">
        <v>46266</v>
      </c>
      <c r="C378" t="s">
        <v>1337</v>
      </c>
      <c r="D378" t="s">
        <v>986</v>
      </c>
      <c r="E378" t="s">
        <v>396</v>
      </c>
      <c r="F378" t="s">
        <v>1081</v>
      </c>
      <c r="G378" t="s">
        <v>1082</v>
      </c>
      <c r="H378" s="16">
        <v>10</v>
      </c>
      <c r="I378" t="s">
        <v>53</v>
      </c>
      <c r="J378" s="16">
        <v>3</v>
      </c>
    </row>
    <row r="379" spans="1:10">
      <c r="A379" t="s">
        <v>1466</v>
      </c>
      <c r="B379" s="15">
        <v>46263</v>
      </c>
      <c r="C379" t="s">
        <v>1337</v>
      </c>
      <c r="D379" t="s">
        <v>956</v>
      </c>
      <c r="E379" t="s">
        <v>396</v>
      </c>
      <c r="F379" t="s">
        <v>1090</v>
      </c>
      <c r="G379" t="s">
        <v>1082</v>
      </c>
      <c r="H379" s="16">
        <v>3</v>
      </c>
      <c r="I379" t="s">
        <v>53</v>
      </c>
      <c r="J379" s="16">
        <v>3</v>
      </c>
    </row>
    <row r="380" spans="1:10">
      <c r="A380" t="s">
        <v>1467</v>
      </c>
      <c r="B380" s="15">
        <v>46230</v>
      </c>
      <c r="C380" t="s">
        <v>1337</v>
      </c>
      <c r="D380" t="s">
        <v>846</v>
      </c>
      <c r="E380" t="s">
        <v>231</v>
      </c>
      <c r="F380" t="s">
        <v>1086</v>
      </c>
      <c r="G380" t="s">
        <v>1091</v>
      </c>
      <c r="H380" s="16">
        <v>7</v>
      </c>
      <c r="I380" t="s">
        <v>53</v>
      </c>
      <c r="J380" s="16">
        <v>2</v>
      </c>
    </row>
    <row r="381" spans="1:10">
      <c r="A381" t="s">
        <v>1468</v>
      </c>
      <c r="B381" s="15">
        <v>46239</v>
      </c>
      <c r="C381" t="s">
        <v>1337</v>
      </c>
      <c r="D381" t="s">
        <v>961</v>
      </c>
      <c r="E381" t="s">
        <v>396</v>
      </c>
      <c r="F381" t="s">
        <v>1086</v>
      </c>
      <c r="G381" t="s">
        <v>1091</v>
      </c>
      <c r="H381" s="16">
        <v>6</v>
      </c>
      <c r="I381" t="s">
        <v>53</v>
      </c>
      <c r="J381" s="16">
        <v>2</v>
      </c>
    </row>
    <row r="382" spans="1:10">
      <c r="A382" t="s">
        <v>1469</v>
      </c>
      <c r="B382" s="15">
        <v>46262</v>
      </c>
      <c r="C382" t="s">
        <v>1337</v>
      </c>
      <c r="D382" t="s">
        <v>630</v>
      </c>
      <c r="E382" t="s">
        <v>37</v>
      </c>
      <c r="F382" t="s">
        <v>1086</v>
      </c>
      <c r="G382" t="s">
        <v>1082</v>
      </c>
      <c r="H382" s="16">
        <v>11</v>
      </c>
      <c r="I382" t="s">
        <v>53</v>
      </c>
      <c r="J382" s="16">
        <v>3</v>
      </c>
    </row>
    <row r="383" spans="1:10">
      <c r="A383" t="s">
        <v>1470</v>
      </c>
      <c r="B383" s="15">
        <v>46292</v>
      </c>
      <c r="C383" t="s">
        <v>1337</v>
      </c>
      <c r="D383" t="s">
        <v>611</v>
      </c>
      <c r="E383" t="s">
        <v>37</v>
      </c>
      <c r="F383" t="s">
        <v>1084</v>
      </c>
      <c r="G383" t="s">
        <v>1082</v>
      </c>
      <c r="H383" s="16">
        <v>7</v>
      </c>
      <c r="I383" t="s">
        <v>53</v>
      </c>
      <c r="J383" s="16">
        <v>2</v>
      </c>
    </row>
    <row r="384" spans="1:10">
      <c r="A384" t="s">
        <v>1471</v>
      </c>
      <c r="B384" s="15">
        <v>46221</v>
      </c>
      <c r="C384" t="s">
        <v>1337</v>
      </c>
      <c r="D384" t="s">
        <v>920</v>
      </c>
      <c r="E384" t="s">
        <v>396</v>
      </c>
      <c r="F384" t="s">
        <v>1090</v>
      </c>
      <c r="G384" t="s">
        <v>1093</v>
      </c>
      <c r="H384" s="16">
        <v>8</v>
      </c>
      <c r="I384" t="s">
        <v>53</v>
      </c>
      <c r="J384" s="16">
        <v>3</v>
      </c>
    </row>
    <row r="385" spans="1:10">
      <c r="A385" t="s">
        <v>1472</v>
      </c>
      <c r="B385" s="15">
        <v>46232</v>
      </c>
      <c r="C385" t="s">
        <v>1337</v>
      </c>
      <c r="D385" t="s">
        <v>682</v>
      </c>
      <c r="E385" t="s">
        <v>37</v>
      </c>
      <c r="F385" t="s">
        <v>1086</v>
      </c>
      <c r="G385" t="s">
        <v>1093</v>
      </c>
      <c r="H385" s="16">
        <v>6</v>
      </c>
      <c r="I385" t="s">
        <v>53</v>
      </c>
      <c r="J385" s="16">
        <v>3</v>
      </c>
    </row>
    <row r="386" spans="1:10">
      <c r="A386" t="s">
        <v>1473</v>
      </c>
      <c r="B386" s="15">
        <v>46236</v>
      </c>
      <c r="C386" t="s">
        <v>1337</v>
      </c>
      <c r="D386" t="s">
        <v>941</v>
      </c>
      <c r="E386" t="s">
        <v>396</v>
      </c>
      <c r="F386" t="s">
        <v>1090</v>
      </c>
      <c r="G386" t="s">
        <v>1082</v>
      </c>
      <c r="H386" s="16">
        <v>8</v>
      </c>
      <c r="I386" t="s">
        <v>53</v>
      </c>
      <c r="J386" s="16">
        <v>3</v>
      </c>
    </row>
    <row r="387" spans="1:10">
      <c r="A387" t="s">
        <v>1474</v>
      </c>
      <c r="B387" s="15">
        <v>46255</v>
      </c>
      <c r="C387" t="s">
        <v>1337</v>
      </c>
      <c r="D387" t="s">
        <v>746</v>
      </c>
      <c r="E387" t="s">
        <v>231</v>
      </c>
      <c r="F387" t="s">
        <v>1086</v>
      </c>
      <c r="G387" t="s">
        <v>1082</v>
      </c>
      <c r="H387" s="16">
        <v>6</v>
      </c>
      <c r="I387" t="s">
        <v>53</v>
      </c>
      <c r="J387" s="16">
        <v>2</v>
      </c>
    </row>
    <row r="388" spans="1:10">
      <c r="A388" t="s">
        <v>1475</v>
      </c>
      <c r="B388" s="15">
        <v>46235</v>
      </c>
      <c r="C388" t="s">
        <v>1337</v>
      </c>
      <c r="D388" t="s">
        <v>1058</v>
      </c>
      <c r="E388" t="s">
        <v>396</v>
      </c>
      <c r="F388" t="s">
        <v>1081</v>
      </c>
      <c r="G388" t="s">
        <v>1091</v>
      </c>
      <c r="H388" s="16">
        <v>8</v>
      </c>
      <c r="I388" t="s">
        <v>41</v>
      </c>
      <c r="J388" s="16">
        <v>2</v>
      </c>
    </row>
    <row r="389" spans="1:10">
      <c r="A389" t="s">
        <v>1476</v>
      </c>
      <c r="B389" s="15">
        <v>46227</v>
      </c>
      <c r="C389" t="s">
        <v>1337</v>
      </c>
      <c r="D389" t="s">
        <v>1043</v>
      </c>
      <c r="E389" t="s">
        <v>396</v>
      </c>
      <c r="F389" t="s">
        <v>1081</v>
      </c>
      <c r="G389" t="s">
        <v>1093</v>
      </c>
      <c r="H389" s="16">
        <v>6</v>
      </c>
      <c r="I389" t="s">
        <v>53</v>
      </c>
      <c r="J389" s="16">
        <v>3</v>
      </c>
    </row>
    <row r="390" spans="1:10">
      <c r="A390" t="s">
        <v>1477</v>
      </c>
      <c r="B390" s="15">
        <v>46274</v>
      </c>
      <c r="C390" t="s">
        <v>1337</v>
      </c>
      <c r="D390" t="s">
        <v>648</v>
      </c>
      <c r="E390" t="s">
        <v>37</v>
      </c>
      <c r="F390" t="s">
        <v>1081</v>
      </c>
      <c r="G390" t="s">
        <v>1097</v>
      </c>
      <c r="H390" s="16">
        <v>13</v>
      </c>
      <c r="I390" t="s">
        <v>53</v>
      </c>
      <c r="J390" s="16">
        <v>4</v>
      </c>
    </row>
    <row r="391" spans="1:10">
      <c r="A391" t="s">
        <v>1478</v>
      </c>
      <c r="B391" s="15">
        <v>46227</v>
      </c>
      <c r="C391" t="s">
        <v>1337</v>
      </c>
      <c r="D391" t="s">
        <v>568</v>
      </c>
      <c r="E391" t="s">
        <v>37</v>
      </c>
      <c r="F391" t="s">
        <v>1090</v>
      </c>
      <c r="G391" t="s">
        <v>1082</v>
      </c>
      <c r="H391" s="16">
        <v>7</v>
      </c>
      <c r="I391" t="s">
        <v>53</v>
      </c>
      <c r="J391" s="16">
        <v>2</v>
      </c>
    </row>
    <row r="392" spans="1:10">
      <c r="A392" t="s">
        <v>1479</v>
      </c>
      <c r="B392" s="15">
        <v>46279</v>
      </c>
      <c r="C392" t="s">
        <v>1337</v>
      </c>
      <c r="D392" t="s">
        <v>792</v>
      </c>
      <c r="E392" t="s">
        <v>231</v>
      </c>
      <c r="F392" t="s">
        <v>1086</v>
      </c>
      <c r="G392" t="s">
        <v>1093</v>
      </c>
      <c r="H392" s="16">
        <v>6</v>
      </c>
      <c r="I392" t="s">
        <v>53</v>
      </c>
      <c r="J392" s="16">
        <v>2</v>
      </c>
    </row>
    <row r="393" spans="1:10">
      <c r="A393" t="s">
        <v>1480</v>
      </c>
      <c r="B393" s="15">
        <v>46276</v>
      </c>
      <c r="C393" t="s">
        <v>1337</v>
      </c>
      <c r="D393" t="s">
        <v>685</v>
      </c>
      <c r="E393" t="s">
        <v>37</v>
      </c>
      <c r="F393" t="s">
        <v>1090</v>
      </c>
      <c r="G393" t="s">
        <v>1093</v>
      </c>
      <c r="H393" s="16">
        <v>4</v>
      </c>
      <c r="I393" t="s">
        <v>53</v>
      </c>
      <c r="J393" s="16">
        <v>3</v>
      </c>
    </row>
    <row r="394" spans="1:10">
      <c r="A394" t="s">
        <v>1481</v>
      </c>
      <c r="B394" s="15">
        <v>46209</v>
      </c>
      <c r="C394" t="s">
        <v>1337</v>
      </c>
      <c r="D394" t="s">
        <v>827</v>
      </c>
      <c r="E394" t="s">
        <v>231</v>
      </c>
      <c r="F394" t="s">
        <v>1086</v>
      </c>
      <c r="G394" t="s">
        <v>1082</v>
      </c>
      <c r="H394" s="16">
        <v>4</v>
      </c>
      <c r="I394" t="s">
        <v>41</v>
      </c>
      <c r="J394" s="16">
        <v>2</v>
      </c>
    </row>
    <row r="395" spans="1:10">
      <c r="A395" t="s">
        <v>1482</v>
      </c>
      <c r="B395" s="15">
        <v>46246</v>
      </c>
      <c r="C395" t="s">
        <v>1337</v>
      </c>
      <c r="D395" t="s">
        <v>1042</v>
      </c>
      <c r="E395" t="s">
        <v>396</v>
      </c>
      <c r="F395" t="s">
        <v>1086</v>
      </c>
      <c r="G395" t="s">
        <v>1082</v>
      </c>
      <c r="H395" s="16">
        <v>9</v>
      </c>
      <c r="I395" t="s">
        <v>53</v>
      </c>
      <c r="J395" s="16">
        <v>3</v>
      </c>
    </row>
    <row r="396" spans="1:10">
      <c r="A396" t="s">
        <v>1483</v>
      </c>
      <c r="B396" s="15">
        <v>46221</v>
      </c>
      <c r="C396" t="s">
        <v>1337</v>
      </c>
      <c r="D396" t="s">
        <v>975</v>
      </c>
      <c r="E396" t="s">
        <v>396</v>
      </c>
      <c r="F396" t="s">
        <v>1084</v>
      </c>
      <c r="G396" t="s">
        <v>1082</v>
      </c>
      <c r="H396" s="16">
        <v>7</v>
      </c>
      <c r="I396" t="s">
        <v>53</v>
      </c>
      <c r="J396" s="16">
        <v>3</v>
      </c>
    </row>
    <row r="397" spans="1:10">
      <c r="A397" t="s">
        <v>1484</v>
      </c>
      <c r="B397" s="15">
        <v>46256</v>
      </c>
      <c r="C397" t="s">
        <v>1337</v>
      </c>
      <c r="D397" t="s">
        <v>877</v>
      </c>
      <c r="E397" t="s">
        <v>231</v>
      </c>
      <c r="F397" t="s">
        <v>1084</v>
      </c>
      <c r="G397" t="s">
        <v>1082</v>
      </c>
      <c r="H397" s="16">
        <v>6</v>
      </c>
      <c r="I397" t="s">
        <v>53</v>
      </c>
      <c r="J397" s="16">
        <v>3</v>
      </c>
    </row>
    <row r="398" spans="1:10">
      <c r="A398" t="s">
        <v>1485</v>
      </c>
      <c r="B398" s="15">
        <v>46295</v>
      </c>
      <c r="C398" t="s">
        <v>1337</v>
      </c>
      <c r="D398" t="s">
        <v>950</v>
      </c>
      <c r="E398" t="s">
        <v>396</v>
      </c>
      <c r="F398" t="s">
        <v>1090</v>
      </c>
      <c r="G398" t="s">
        <v>1097</v>
      </c>
      <c r="H398" s="16">
        <v>10</v>
      </c>
      <c r="I398" t="s">
        <v>41</v>
      </c>
      <c r="J398" s="16">
        <v>3</v>
      </c>
    </row>
    <row r="399" spans="1:10">
      <c r="A399" t="s">
        <v>1486</v>
      </c>
      <c r="B399" s="15">
        <v>46216</v>
      </c>
      <c r="C399" t="s">
        <v>1337</v>
      </c>
      <c r="D399" t="s">
        <v>925</v>
      </c>
      <c r="E399" t="s">
        <v>396</v>
      </c>
      <c r="F399" t="s">
        <v>1081</v>
      </c>
      <c r="G399" t="s">
        <v>1082</v>
      </c>
      <c r="H399" s="16">
        <v>8</v>
      </c>
      <c r="I399" t="s">
        <v>53</v>
      </c>
      <c r="J399" s="16">
        <v>2</v>
      </c>
    </row>
    <row r="400" spans="1:10">
      <c r="A400" t="s">
        <v>1487</v>
      </c>
      <c r="B400" s="15">
        <v>46279</v>
      </c>
      <c r="C400" t="s">
        <v>1337</v>
      </c>
      <c r="D400" t="s">
        <v>656</v>
      </c>
      <c r="E400" t="s">
        <v>37</v>
      </c>
      <c r="F400" t="s">
        <v>1090</v>
      </c>
      <c r="G400" t="s">
        <v>1082</v>
      </c>
      <c r="H400" s="16">
        <v>9</v>
      </c>
      <c r="I400" t="s">
        <v>41</v>
      </c>
      <c r="J400" s="16">
        <v>4</v>
      </c>
    </row>
    <row r="401" spans="1:10">
      <c r="A401" t="s">
        <v>1488</v>
      </c>
      <c r="B401" s="15">
        <v>46282</v>
      </c>
      <c r="C401" t="s">
        <v>1337</v>
      </c>
      <c r="D401" t="s">
        <v>771</v>
      </c>
      <c r="E401" t="s">
        <v>231</v>
      </c>
      <c r="F401" t="s">
        <v>1081</v>
      </c>
      <c r="G401" t="s">
        <v>1093</v>
      </c>
      <c r="H401" s="16">
        <v>5</v>
      </c>
      <c r="I401" t="s">
        <v>53</v>
      </c>
      <c r="J401" s="16">
        <v>2</v>
      </c>
    </row>
    <row r="402" spans="1:10">
      <c r="A402" t="s">
        <v>1489</v>
      </c>
      <c r="B402" s="15">
        <v>46209</v>
      </c>
      <c r="C402" t="s">
        <v>1337</v>
      </c>
      <c r="D402" t="s">
        <v>662</v>
      </c>
      <c r="E402" t="s">
        <v>37</v>
      </c>
      <c r="F402" t="s">
        <v>1081</v>
      </c>
      <c r="G402" t="s">
        <v>1091</v>
      </c>
      <c r="H402" s="16">
        <v>6</v>
      </c>
      <c r="I402" t="s">
        <v>53</v>
      </c>
      <c r="J402" s="16">
        <v>2</v>
      </c>
    </row>
    <row r="403" spans="1:10">
      <c r="A403" t="s">
        <v>1490</v>
      </c>
      <c r="B403" s="15">
        <v>46293</v>
      </c>
      <c r="C403" t="s">
        <v>1337</v>
      </c>
      <c r="D403" t="s">
        <v>742</v>
      </c>
      <c r="E403" t="s">
        <v>231</v>
      </c>
      <c r="F403" t="s">
        <v>1090</v>
      </c>
      <c r="G403" t="s">
        <v>1093</v>
      </c>
      <c r="H403" s="16">
        <v>10</v>
      </c>
      <c r="I403" t="s">
        <v>53</v>
      </c>
      <c r="J403" s="16">
        <v>4</v>
      </c>
    </row>
    <row r="404" spans="1:10">
      <c r="A404" t="s">
        <v>1491</v>
      </c>
      <c r="B404" s="15">
        <v>46216</v>
      </c>
      <c r="C404" t="s">
        <v>1337</v>
      </c>
      <c r="D404" t="s">
        <v>563</v>
      </c>
      <c r="E404" t="s">
        <v>37</v>
      </c>
      <c r="F404" t="s">
        <v>1090</v>
      </c>
      <c r="G404" t="s">
        <v>1097</v>
      </c>
      <c r="H404" s="16">
        <v>1</v>
      </c>
      <c r="I404" t="s">
        <v>41</v>
      </c>
      <c r="J404" s="16">
        <v>2</v>
      </c>
    </row>
    <row r="405" spans="1:10">
      <c r="A405" t="s">
        <v>1492</v>
      </c>
      <c r="B405" s="15">
        <v>46239</v>
      </c>
      <c r="C405" t="s">
        <v>1337</v>
      </c>
      <c r="D405" t="s">
        <v>741</v>
      </c>
      <c r="E405" t="s">
        <v>231</v>
      </c>
      <c r="F405" t="s">
        <v>1084</v>
      </c>
      <c r="G405" t="s">
        <v>1082</v>
      </c>
      <c r="H405" s="16">
        <v>7</v>
      </c>
      <c r="I405" t="s">
        <v>53</v>
      </c>
      <c r="J405" s="16">
        <v>3</v>
      </c>
    </row>
    <row r="406" spans="1:10">
      <c r="A406" t="s">
        <v>1493</v>
      </c>
      <c r="B406" s="15">
        <v>46225</v>
      </c>
      <c r="C406" t="s">
        <v>1337</v>
      </c>
      <c r="D406" t="s">
        <v>922</v>
      </c>
      <c r="E406" t="s">
        <v>396</v>
      </c>
      <c r="F406" t="s">
        <v>1081</v>
      </c>
      <c r="G406" t="s">
        <v>1082</v>
      </c>
      <c r="H406" s="16">
        <v>5</v>
      </c>
      <c r="I406" t="s">
        <v>53</v>
      </c>
      <c r="J406" s="16">
        <v>4</v>
      </c>
    </row>
    <row r="407" spans="1:10">
      <c r="A407" t="s">
        <v>1494</v>
      </c>
      <c r="B407" s="15">
        <v>46206</v>
      </c>
      <c r="C407" t="s">
        <v>1337</v>
      </c>
      <c r="D407" t="s">
        <v>986</v>
      </c>
      <c r="E407" t="s">
        <v>396</v>
      </c>
      <c r="F407" t="s">
        <v>1086</v>
      </c>
      <c r="G407" t="s">
        <v>1093</v>
      </c>
      <c r="H407" s="16">
        <v>8</v>
      </c>
      <c r="I407" t="s">
        <v>41</v>
      </c>
      <c r="J407" s="16">
        <v>3</v>
      </c>
    </row>
    <row r="408" spans="1:10">
      <c r="A408" t="s">
        <v>1495</v>
      </c>
      <c r="B408" s="15">
        <v>46229</v>
      </c>
      <c r="C408" t="s">
        <v>1337</v>
      </c>
      <c r="D408" t="s">
        <v>969</v>
      </c>
      <c r="E408" t="s">
        <v>396</v>
      </c>
      <c r="F408" t="s">
        <v>1081</v>
      </c>
      <c r="G408" t="s">
        <v>1082</v>
      </c>
      <c r="H408" s="16">
        <v>7</v>
      </c>
      <c r="I408" t="s">
        <v>53</v>
      </c>
      <c r="J408" s="16">
        <v>2</v>
      </c>
    </row>
    <row r="409" spans="1:10">
      <c r="A409" t="s">
        <v>1496</v>
      </c>
      <c r="B409" s="15">
        <v>46288</v>
      </c>
      <c r="C409" t="s">
        <v>1337</v>
      </c>
      <c r="D409" t="s">
        <v>656</v>
      </c>
      <c r="E409" t="s">
        <v>37</v>
      </c>
      <c r="F409" t="s">
        <v>1084</v>
      </c>
      <c r="G409" t="s">
        <v>1082</v>
      </c>
      <c r="H409" s="16">
        <v>5</v>
      </c>
      <c r="I409" t="s">
        <v>53</v>
      </c>
      <c r="J409" s="16">
        <v>1</v>
      </c>
    </row>
    <row r="410" spans="1:10">
      <c r="A410" t="s">
        <v>1497</v>
      </c>
      <c r="B410" s="15">
        <v>46250</v>
      </c>
      <c r="C410" t="s">
        <v>1337</v>
      </c>
      <c r="D410" t="s">
        <v>901</v>
      </c>
      <c r="E410" t="s">
        <v>231</v>
      </c>
      <c r="F410" t="s">
        <v>1086</v>
      </c>
      <c r="G410" t="s">
        <v>1082</v>
      </c>
      <c r="H410" s="16">
        <v>7</v>
      </c>
      <c r="I410" t="s">
        <v>41</v>
      </c>
      <c r="J410" s="16">
        <v>2</v>
      </c>
    </row>
    <row r="411" spans="1:10">
      <c r="A411" t="s">
        <v>1498</v>
      </c>
      <c r="B411" s="15">
        <v>46259</v>
      </c>
      <c r="C411" t="s">
        <v>1337</v>
      </c>
      <c r="D411" t="s">
        <v>780</v>
      </c>
      <c r="E411" t="s">
        <v>231</v>
      </c>
      <c r="F411" t="s">
        <v>1081</v>
      </c>
      <c r="G411" t="s">
        <v>1093</v>
      </c>
      <c r="H411" s="16">
        <v>7</v>
      </c>
      <c r="I411" t="s">
        <v>53</v>
      </c>
      <c r="J411" s="16">
        <v>4</v>
      </c>
    </row>
    <row r="412" spans="1:10">
      <c r="A412" t="s">
        <v>1499</v>
      </c>
      <c r="B412" s="15">
        <v>46251</v>
      </c>
      <c r="C412" t="s">
        <v>1337</v>
      </c>
      <c r="D412" t="s">
        <v>924</v>
      </c>
      <c r="E412" t="s">
        <v>396</v>
      </c>
      <c r="F412" t="s">
        <v>1086</v>
      </c>
      <c r="G412" t="s">
        <v>1093</v>
      </c>
      <c r="H412" s="16">
        <v>7</v>
      </c>
      <c r="I412" t="s">
        <v>53</v>
      </c>
      <c r="J412" s="16">
        <v>2</v>
      </c>
    </row>
    <row r="413" spans="1:10">
      <c r="A413" t="s">
        <v>1500</v>
      </c>
      <c r="B413" s="15">
        <v>46217</v>
      </c>
      <c r="C413" t="s">
        <v>1337</v>
      </c>
      <c r="D413" t="s">
        <v>562</v>
      </c>
      <c r="E413" t="s">
        <v>37</v>
      </c>
      <c r="F413" t="s">
        <v>1086</v>
      </c>
      <c r="G413" t="s">
        <v>1082</v>
      </c>
      <c r="H413" s="16">
        <v>5</v>
      </c>
      <c r="I413" t="s">
        <v>53</v>
      </c>
      <c r="J413" s="16">
        <v>3</v>
      </c>
    </row>
    <row r="414" spans="1:10">
      <c r="A414" t="s">
        <v>1501</v>
      </c>
      <c r="B414" s="15">
        <v>46293</v>
      </c>
      <c r="C414" t="s">
        <v>1337</v>
      </c>
      <c r="D414" t="s">
        <v>583</v>
      </c>
      <c r="E414" t="s">
        <v>37</v>
      </c>
      <c r="F414" t="s">
        <v>1081</v>
      </c>
      <c r="G414" t="s">
        <v>1093</v>
      </c>
      <c r="H414" s="16">
        <v>7</v>
      </c>
      <c r="I414" t="s">
        <v>53</v>
      </c>
      <c r="J414" s="16">
        <v>2</v>
      </c>
    </row>
    <row r="415" spans="1:10">
      <c r="A415" t="s">
        <v>1502</v>
      </c>
      <c r="B415" s="15">
        <v>46290</v>
      </c>
      <c r="C415" t="s">
        <v>1337</v>
      </c>
      <c r="D415" t="s">
        <v>1051</v>
      </c>
      <c r="E415" t="s">
        <v>396</v>
      </c>
      <c r="F415" t="s">
        <v>1086</v>
      </c>
      <c r="G415" t="s">
        <v>1082</v>
      </c>
      <c r="H415" s="16">
        <v>8</v>
      </c>
      <c r="I415" t="s">
        <v>53</v>
      </c>
      <c r="J415" s="16">
        <v>3</v>
      </c>
    </row>
    <row r="416" spans="1:10">
      <c r="A416" t="s">
        <v>1503</v>
      </c>
      <c r="B416" s="15">
        <v>46261</v>
      </c>
      <c r="C416" t="s">
        <v>1337</v>
      </c>
      <c r="D416" t="s">
        <v>581</v>
      </c>
      <c r="E416" t="s">
        <v>37</v>
      </c>
      <c r="F416" t="s">
        <v>1086</v>
      </c>
      <c r="G416" t="s">
        <v>1097</v>
      </c>
      <c r="H416" s="16">
        <v>11</v>
      </c>
      <c r="I416" t="s">
        <v>41</v>
      </c>
      <c r="J416" s="16">
        <v>2</v>
      </c>
    </row>
    <row r="417" spans="1:10">
      <c r="A417" t="s">
        <v>1504</v>
      </c>
      <c r="B417" s="15">
        <v>46276</v>
      </c>
      <c r="C417" t="s">
        <v>1337</v>
      </c>
      <c r="D417" t="s">
        <v>971</v>
      </c>
      <c r="E417" t="s">
        <v>396</v>
      </c>
      <c r="F417" t="s">
        <v>1081</v>
      </c>
      <c r="G417" t="s">
        <v>1093</v>
      </c>
      <c r="H417" s="16">
        <v>4</v>
      </c>
      <c r="I417" t="s">
        <v>53</v>
      </c>
      <c r="J417" s="16">
        <v>4</v>
      </c>
    </row>
    <row r="418" spans="1:10">
      <c r="A418" t="s">
        <v>1505</v>
      </c>
      <c r="B418" s="15">
        <v>46244</v>
      </c>
      <c r="C418" t="s">
        <v>1337</v>
      </c>
      <c r="D418" t="s">
        <v>807</v>
      </c>
      <c r="E418" t="s">
        <v>231</v>
      </c>
      <c r="F418" t="s">
        <v>1086</v>
      </c>
      <c r="G418" t="s">
        <v>1097</v>
      </c>
      <c r="H418" s="16">
        <v>3</v>
      </c>
      <c r="I418" t="s">
        <v>41</v>
      </c>
      <c r="J418" s="16">
        <v>2</v>
      </c>
    </row>
    <row r="419" spans="1:10">
      <c r="A419" t="s">
        <v>1506</v>
      </c>
      <c r="B419" s="15">
        <v>46229</v>
      </c>
      <c r="C419" t="s">
        <v>1337</v>
      </c>
      <c r="D419" t="s">
        <v>844</v>
      </c>
      <c r="E419" t="s">
        <v>231</v>
      </c>
      <c r="F419" t="s">
        <v>1090</v>
      </c>
      <c r="G419" t="s">
        <v>1093</v>
      </c>
      <c r="H419" s="16">
        <v>8</v>
      </c>
      <c r="I419" t="s">
        <v>41</v>
      </c>
      <c r="J419" s="16">
        <v>1</v>
      </c>
    </row>
    <row r="420" spans="1:10">
      <c r="A420" t="s">
        <v>1507</v>
      </c>
      <c r="B420" s="15">
        <v>46218</v>
      </c>
      <c r="C420" t="s">
        <v>1337</v>
      </c>
      <c r="D420" t="s">
        <v>948</v>
      </c>
      <c r="E420" t="s">
        <v>396</v>
      </c>
      <c r="F420" t="s">
        <v>1086</v>
      </c>
      <c r="G420" t="s">
        <v>1082</v>
      </c>
      <c r="H420" s="16">
        <v>7</v>
      </c>
      <c r="I420" t="s">
        <v>53</v>
      </c>
      <c r="J420" s="16">
        <v>3</v>
      </c>
    </row>
    <row r="421" spans="1:10">
      <c r="A421" t="s">
        <v>1508</v>
      </c>
      <c r="B421" s="15">
        <v>46272</v>
      </c>
      <c r="C421" t="s">
        <v>1337</v>
      </c>
      <c r="D421" t="s">
        <v>569</v>
      </c>
      <c r="E421" t="s">
        <v>37</v>
      </c>
      <c r="F421" t="s">
        <v>1090</v>
      </c>
      <c r="G421" t="s">
        <v>1097</v>
      </c>
      <c r="H421" s="16">
        <v>4</v>
      </c>
      <c r="I421" t="s">
        <v>53</v>
      </c>
      <c r="J421" s="16">
        <v>4</v>
      </c>
    </row>
    <row r="422" spans="1:10">
      <c r="A422" t="s">
        <v>1509</v>
      </c>
      <c r="B422" s="15">
        <v>46210</v>
      </c>
      <c r="C422" t="s">
        <v>1337</v>
      </c>
      <c r="D422" t="s">
        <v>673</v>
      </c>
      <c r="E422" t="s">
        <v>37</v>
      </c>
      <c r="F422" t="s">
        <v>1084</v>
      </c>
      <c r="G422" t="s">
        <v>1082</v>
      </c>
      <c r="H422" s="16">
        <v>4</v>
      </c>
      <c r="I422" t="s">
        <v>53</v>
      </c>
      <c r="J422" s="16">
        <v>2</v>
      </c>
    </row>
    <row r="423" spans="1:10">
      <c r="A423" t="s">
        <v>1510</v>
      </c>
      <c r="B423" s="15">
        <v>46234</v>
      </c>
      <c r="C423" t="s">
        <v>1337</v>
      </c>
      <c r="D423" t="s">
        <v>928</v>
      </c>
      <c r="E423" t="s">
        <v>396</v>
      </c>
      <c r="F423" t="s">
        <v>1081</v>
      </c>
      <c r="G423" t="s">
        <v>1082</v>
      </c>
      <c r="H423" s="16">
        <v>9</v>
      </c>
      <c r="I423" t="s">
        <v>41</v>
      </c>
      <c r="J423" s="16">
        <v>2</v>
      </c>
    </row>
    <row r="424" spans="1:10">
      <c r="A424" t="s">
        <v>1511</v>
      </c>
      <c r="B424" s="15">
        <v>46214</v>
      </c>
      <c r="C424" t="s">
        <v>1337</v>
      </c>
      <c r="D424" t="s">
        <v>1002</v>
      </c>
      <c r="E424" t="s">
        <v>396</v>
      </c>
      <c r="F424" t="s">
        <v>1086</v>
      </c>
      <c r="G424" t="s">
        <v>1082</v>
      </c>
      <c r="H424" s="16">
        <v>2</v>
      </c>
      <c r="I424" t="s">
        <v>53</v>
      </c>
      <c r="J424" s="16">
        <v>3</v>
      </c>
    </row>
    <row r="425" spans="1:10">
      <c r="A425" t="s">
        <v>1512</v>
      </c>
      <c r="B425" s="15">
        <v>46246</v>
      </c>
      <c r="C425" t="s">
        <v>1337</v>
      </c>
      <c r="D425" t="s">
        <v>881</v>
      </c>
      <c r="E425" t="s">
        <v>231</v>
      </c>
      <c r="F425" t="s">
        <v>1086</v>
      </c>
      <c r="G425" t="s">
        <v>1082</v>
      </c>
      <c r="H425" s="16">
        <v>3</v>
      </c>
      <c r="I425" t="s">
        <v>53</v>
      </c>
      <c r="J425" s="16">
        <v>2</v>
      </c>
    </row>
    <row r="426" spans="1:10">
      <c r="A426" t="s">
        <v>1513</v>
      </c>
      <c r="B426" s="15">
        <v>46221</v>
      </c>
      <c r="C426" t="s">
        <v>1337</v>
      </c>
      <c r="D426" t="s">
        <v>972</v>
      </c>
      <c r="E426" t="s">
        <v>396</v>
      </c>
      <c r="F426" t="s">
        <v>1084</v>
      </c>
      <c r="G426" t="s">
        <v>1091</v>
      </c>
      <c r="H426" s="16">
        <v>8</v>
      </c>
      <c r="I426" t="s">
        <v>41</v>
      </c>
      <c r="J426" s="16">
        <v>2</v>
      </c>
    </row>
    <row r="427" spans="1:10">
      <c r="A427" t="s">
        <v>1514</v>
      </c>
      <c r="B427" s="15">
        <v>46283</v>
      </c>
      <c r="C427" t="s">
        <v>1337</v>
      </c>
      <c r="D427" t="s">
        <v>854</v>
      </c>
      <c r="E427" t="s">
        <v>231</v>
      </c>
      <c r="F427" t="s">
        <v>1086</v>
      </c>
      <c r="G427" t="s">
        <v>1093</v>
      </c>
      <c r="H427" s="16">
        <v>9</v>
      </c>
      <c r="I427" t="s">
        <v>53</v>
      </c>
      <c r="J427" s="16">
        <v>2</v>
      </c>
    </row>
    <row r="428" spans="1:10">
      <c r="A428" t="s">
        <v>1515</v>
      </c>
      <c r="B428" s="15">
        <v>46262</v>
      </c>
      <c r="C428" t="s">
        <v>1337</v>
      </c>
      <c r="D428" t="s">
        <v>783</v>
      </c>
      <c r="E428" t="s">
        <v>231</v>
      </c>
      <c r="F428" t="s">
        <v>1084</v>
      </c>
      <c r="G428" t="s">
        <v>1091</v>
      </c>
      <c r="H428" s="16">
        <v>6</v>
      </c>
      <c r="I428" t="s">
        <v>53</v>
      </c>
      <c r="J428" s="16">
        <v>2</v>
      </c>
    </row>
    <row r="429" spans="1:10">
      <c r="A429" t="s">
        <v>1516</v>
      </c>
      <c r="B429" s="15">
        <v>46207</v>
      </c>
      <c r="C429" t="s">
        <v>1337</v>
      </c>
      <c r="D429" t="s">
        <v>749</v>
      </c>
      <c r="E429" t="s">
        <v>231</v>
      </c>
      <c r="F429" t="s">
        <v>1081</v>
      </c>
      <c r="G429" t="s">
        <v>1093</v>
      </c>
      <c r="H429" s="16">
        <v>3</v>
      </c>
      <c r="I429" t="s">
        <v>41</v>
      </c>
      <c r="J429" s="16">
        <v>2</v>
      </c>
    </row>
    <row r="430" spans="1:10">
      <c r="A430" t="s">
        <v>1517</v>
      </c>
      <c r="B430" s="15">
        <v>46207</v>
      </c>
      <c r="C430" t="s">
        <v>1337</v>
      </c>
      <c r="D430" t="s">
        <v>562</v>
      </c>
      <c r="E430" t="s">
        <v>37</v>
      </c>
      <c r="F430" t="s">
        <v>1090</v>
      </c>
      <c r="G430" t="s">
        <v>1093</v>
      </c>
      <c r="H430" s="16">
        <v>7</v>
      </c>
      <c r="I430" t="s">
        <v>53</v>
      </c>
      <c r="J430" s="16">
        <v>4</v>
      </c>
    </row>
    <row r="431" spans="1:10">
      <c r="A431" t="s">
        <v>1518</v>
      </c>
      <c r="B431" s="15">
        <v>46278</v>
      </c>
      <c r="C431" t="s">
        <v>1337</v>
      </c>
      <c r="D431" t="s">
        <v>761</v>
      </c>
      <c r="E431" t="s">
        <v>231</v>
      </c>
      <c r="F431" t="s">
        <v>1090</v>
      </c>
      <c r="G431" t="s">
        <v>1082</v>
      </c>
      <c r="H431" s="16">
        <v>2</v>
      </c>
      <c r="I431" t="s">
        <v>53</v>
      </c>
      <c r="J431" s="16">
        <v>4</v>
      </c>
    </row>
    <row r="432" spans="1:10">
      <c r="A432" t="s">
        <v>1519</v>
      </c>
      <c r="B432" s="15">
        <v>46286</v>
      </c>
      <c r="C432" t="s">
        <v>1337</v>
      </c>
      <c r="D432" t="s">
        <v>1011</v>
      </c>
      <c r="E432" t="s">
        <v>396</v>
      </c>
      <c r="F432" t="s">
        <v>1084</v>
      </c>
      <c r="G432" t="s">
        <v>1091</v>
      </c>
      <c r="H432" s="16">
        <v>9</v>
      </c>
      <c r="I432" t="s">
        <v>53</v>
      </c>
      <c r="J432" s="16">
        <v>3</v>
      </c>
    </row>
    <row r="433" spans="1:10">
      <c r="A433" t="s">
        <v>1520</v>
      </c>
      <c r="B433" s="15">
        <v>46207</v>
      </c>
      <c r="C433" t="s">
        <v>1337</v>
      </c>
      <c r="D433" t="s">
        <v>725</v>
      </c>
      <c r="E433" t="s">
        <v>37</v>
      </c>
      <c r="F433" t="s">
        <v>1084</v>
      </c>
      <c r="G433" t="s">
        <v>1091</v>
      </c>
      <c r="H433" s="16">
        <v>12</v>
      </c>
      <c r="I433" t="s">
        <v>53</v>
      </c>
      <c r="J433" s="16">
        <v>3</v>
      </c>
    </row>
    <row r="434" spans="1:10">
      <c r="A434" t="s">
        <v>1521</v>
      </c>
      <c r="B434" s="15">
        <v>46286</v>
      </c>
      <c r="C434" t="s">
        <v>1337</v>
      </c>
      <c r="D434" t="s">
        <v>615</v>
      </c>
      <c r="E434" t="s">
        <v>37</v>
      </c>
      <c r="F434" t="s">
        <v>1086</v>
      </c>
      <c r="G434" t="s">
        <v>1091</v>
      </c>
      <c r="H434" s="16">
        <v>5</v>
      </c>
      <c r="I434" t="s">
        <v>53</v>
      </c>
      <c r="J434" s="16">
        <v>3</v>
      </c>
    </row>
    <row r="435" spans="1:10">
      <c r="A435" t="s">
        <v>1522</v>
      </c>
      <c r="B435" s="15">
        <v>46273</v>
      </c>
      <c r="C435" t="s">
        <v>1337</v>
      </c>
      <c r="D435" t="s">
        <v>578</v>
      </c>
      <c r="E435" t="s">
        <v>37</v>
      </c>
      <c r="F435" t="s">
        <v>1086</v>
      </c>
      <c r="G435" t="s">
        <v>1093</v>
      </c>
      <c r="H435" s="16">
        <v>8</v>
      </c>
      <c r="I435" t="s">
        <v>53</v>
      </c>
      <c r="J435" s="16">
        <v>1</v>
      </c>
    </row>
    <row r="436" spans="1:10">
      <c r="A436" t="s">
        <v>1523</v>
      </c>
      <c r="B436" s="15">
        <v>46223</v>
      </c>
      <c r="C436" t="s">
        <v>1337</v>
      </c>
      <c r="D436" t="s">
        <v>785</v>
      </c>
      <c r="E436" t="s">
        <v>231</v>
      </c>
      <c r="F436" t="s">
        <v>1090</v>
      </c>
      <c r="G436" t="s">
        <v>1093</v>
      </c>
      <c r="H436" s="16">
        <v>4</v>
      </c>
      <c r="I436" t="s">
        <v>53</v>
      </c>
      <c r="J436" s="16">
        <v>1</v>
      </c>
    </row>
    <row r="437" spans="1:10">
      <c r="A437" t="s">
        <v>1524</v>
      </c>
      <c r="B437" s="15">
        <v>46209</v>
      </c>
      <c r="C437" t="s">
        <v>1337</v>
      </c>
      <c r="D437" t="s">
        <v>621</v>
      </c>
      <c r="E437" t="s">
        <v>37</v>
      </c>
      <c r="F437" t="s">
        <v>1084</v>
      </c>
      <c r="G437" t="s">
        <v>1093</v>
      </c>
      <c r="H437" s="16">
        <v>5</v>
      </c>
      <c r="I437" t="s">
        <v>53</v>
      </c>
      <c r="J437" s="16">
        <v>3</v>
      </c>
    </row>
    <row r="438" spans="1:10">
      <c r="A438" t="s">
        <v>1525</v>
      </c>
      <c r="B438" s="15">
        <v>46210</v>
      </c>
      <c r="C438" t="s">
        <v>1337</v>
      </c>
      <c r="D438" t="s">
        <v>916</v>
      </c>
      <c r="E438" t="s">
        <v>396</v>
      </c>
      <c r="F438" t="s">
        <v>1086</v>
      </c>
      <c r="G438" t="s">
        <v>1082</v>
      </c>
      <c r="H438" s="16">
        <v>9</v>
      </c>
      <c r="I438" t="s">
        <v>53</v>
      </c>
      <c r="J438" s="16">
        <v>3</v>
      </c>
    </row>
    <row r="439" spans="1:10">
      <c r="A439" t="s">
        <v>1526</v>
      </c>
      <c r="B439" s="15">
        <v>46248</v>
      </c>
      <c r="C439" t="s">
        <v>1337</v>
      </c>
      <c r="D439" t="s">
        <v>1003</v>
      </c>
      <c r="E439" t="s">
        <v>396</v>
      </c>
      <c r="F439" t="s">
        <v>1086</v>
      </c>
      <c r="G439" t="s">
        <v>1093</v>
      </c>
      <c r="H439" s="16">
        <v>7</v>
      </c>
      <c r="I439" t="s">
        <v>41</v>
      </c>
      <c r="J439" s="16">
        <v>3</v>
      </c>
    </row>
    <row r="440" spans="1:10">
      <c r="A440" t="s">
        <v>1527</v>
      </c>
      <c r="B440" s="15">
        <v>46276</v>
      </c>
      <c r="C440" t="s">
        <v>1337</v>
      </c>
      <c r="D440" t="s">
        <v>947</v>
      </c>
      <c r="E440" t="s">
        <v>396</v>
      </c>
      <c r="F440" t="s">
        <v>1086</v>
      </c>
      <c r="G440" t="s">
        <v>1091</v>
      </c>
      <c r="H440" s="16">
        <v>6</v>
      </c>
      <c r="I440" t="s">
        <v>53</v>
      </c>
      <c r="J440" s="16">
        <v>3</v>
      </c>
    </row>
    <row r="441" spans="1:10">
      <c r="A441" t="s">
        <v>1528</v>
      </c>
      <c r="B441" s="15">
        <v>46269</v>
      </c>
      <c r="C441" t="s">
        <v>1337</v>
      </c>
      <c r="D441" t="s">
        <v>599</v>
      </c>
      <c r="E441" t="s">
        <v>37</v>
      </c>
      <c r="F441" t="s">
        <v>1090</v>
      </c>
      <c r="G441" t="s">
        <v>1082</v>
      </c>
      <c r="H441" s="16">
        <v>5</v>
      </c>
      <c r="I441" t="s">
        <v>53</v>
      </c>
      <c r="J441" s="16">
        <v>2</v>
      </c>
    </row>
    <row r="442" spans="1:10">
      <c r="A442" t="s">
        <v>1529</v>
      </c>
      <c r="B442" s="15">
        <v>46277</v>
      </c>
      <c r="C442" t="s">
        <v>1337</v>
      </c>
      <c r="D442" t="s">
        <v>637</v>
      </c>
      <c r="E442" t="s">
        <v>37</v>
      </c>
      <c r="F442" t="s">
        <v>1090</v>
      </c>
      <c r="G442" t="s">
        <v>1097</v>
      </c>
      <c r="H442" s="16">
        <v>6</v>
      </c>
      <c r="I442" t="s">
        <v>53</v>
      </c>
      <c r="J442" s="16">
        <v>2</v>
      </c>
    </row>
    <row r="443" spans="1:10">
      <c r="A443" t="s">
        <v>1530</v>
      </c>
      <c r="B443" s="15">
        <v>46284</v>
      </c>
      <c r="C443" t="s">
        <v>1337</v>
      </c>
      <c r="D443" t="s">
        <v>661</v>
      </c>
      <c r="E443" t="s">
        <v>37</v>
      </c>
      <c r="F443" t="s">
        <v>1081</v>
      </c>
      <c r="G443" t="s">
        <v>1093</v>
      </c>
      <c r="H443" s="16">
        <v>7</v>
      </c>
      <c r="I443" t="s">
        <v>53</v>
      </c>
      <c r="J443" s="16">
        <v>1</v>
      </c>
    </row>
    <row r="444" spans="1:10">
      <c r="A444" t="s">
        <v>1531</v>
      </c>
      <c r="B444" s="15">
        <v>46262</v>
      </c>
      <c r="C444" t="s">
        <v>1337</v>
      </c>
      <c r="D444" t="s">
        <v>699</v>
      </c>
      <c r="E444" t="s">
        <v>37</v>
      </c>
      <c r="F444" t="s">
        <v>1090</v>
      </c>
      <c r="G444" t="s">
        <v>1091</v>
      </c>
      <c r="H444" s="16">
        <v>7</v>
      </c>
      <c r="I444" t="s">
        <v>41</v>
      </c>
      <c r="J444" s="16">
        <v>3</v>
      </c>
    </row>
    <row r="445" spans="1:10">
      <c r="A445" t="s">
        <v>1532</v>
      </c>
      <c r="B445" s="15">
        <v>46285</v>
      </c>
      <c r="C445" t="s">
        <v>1337</v>
      </c>
      <c r="D445" t="s">
        <v>675</v>
      </c>
      <c r="E445" t="s">
        <v>37</v>
      </c>
      <c r="F445" t="s">
        <v>1084</v>
      </c>
      <c r="G445" t="s">
        <v>1082</v>
      </c>
      <c r="H445" s="16">
        <v>9</v>
      </c>
      <c r="I445" t="s">
        <v>41</v>
      </c>
      <c r="J445" s="16">
        <v>3</v>
      </c>
    </row>
    <row r="446" spans="1:10">
      <c r="A446" t="s">
        <v>1533</v>
      </c>
      <c r="B446" s="15">
        <v>46254</v>
      </c>
      <c r="C446" t="s">
        <v>1337</v>
      </c>
      <c r="D446" t="s">
        <v>605</v>
      </c>
      <c r="E446" t="s">
        <v>37</v>
      </c>
      <c r="F446" t="s">
        <v>1084</v>
      </c>
      <c r="G446" t="s">
        <v>1082</v>
      </c>
      <c r="H446" s="16">
        <v>8</v>
      </c>
      <c r="I446" t="s">
        <v>53</v>
      </c>
      <c r="J446" s="16">
        <v>1</v>
      </c>
    </row>
    <row r="447" spans="1:10">
      <c r="A447" t="s">
        <v>1534</v>
      </c>
      <c r="B447" s="15">
        <v>46271</v>
      </c>
      <c r="C447" t="s">
        <v>1337</v>
      </c>
      <c r="D447" t="s">
        <v>730</v>
      </c>
      <c r="E447" t="s">
        <v>37</v>
      </c>
      <c r="F447" t="s">
        <v>1081</v>
      </c>
      <c r="G447" t="s">
        <v>1093</v>
      </c>
      <c r="H447" s="16">
        <v>7</v>
      </c>
      <c r="I447" t="s">
        <v>53</v>
      </c>
      <c r="J447" s="16">
        <v>3</v>
      </c>
    </row>
    <row r="448" spans="1:10">
      <c r="A448" t="s">
        <v>1535</v>
      </c>
      <c r="B448" s="15">
        <v>46274</v>
      </c>
      <c r="C448" t="s">
        <v>1337</v>
      </c>
      <c r="D448" t="s">
        <v>662</v>
      </c>
      <c r="E448" t="s">
        <v>37</v>
      </c>
      <c r="F448" t="s">
        <v>1086</v>
      </c>
      <c r="G448" t="s">
        <v>1091</v>
      </c>
      <c r="H448" s="16">
        <v>5</v>
      </c>
      <c r="I448" t="s">
        <v>41</v>
      </c>
      <c r="J448" s="16">
        <v>2</v>
      </c>
    </row>
    <row r="449" spans="1:10">
      <c r="A449" t="s">
        <v>1536</v>
      </c>
      <c r="B449" s="15">
        <v>46228</v>
      </c>
      <c r="C449" t="s">
        <v>1337</v>
      </c>
      <c r="D449" t="s">
        <v>637</v>
      </c>
      <c r="E449" t="s">
        <v>37</v>
      </c>
      <c r="F449" t="s">
        <v>1090</v>
      </c>
      <c r="G449" t="s">
        <v>1082</v>
      </c>
      <c r="H449" s="16">
        <v>5</v>
      </c>
      <c r="I449" t="s">
        <v>41</v>
      </c>
      <c r="J449" s="16">
        <v>3</v>
      </c>
    </row>
    <row r="450" spans="1:10">
      <c r="A450" t="s">
        <v>1537</v>
      </c>
      <c r="B450" s="15">
        <v>46223</v>
      </c>
      <c r="C450" t="s">
        <v>1337</v>
      </c>
      <c r="D450" t="s">
        <v>713</v>
      </c>
      <c r="E450" t="s">
        <v>37</v>
      </c>
      <c r="F450" t="s">
        <v>1081</v>
      </c>
      <c r="G450" t="s">
        <v>1093</v>
      </c>
      <c r="H450" s="16">
        <v>8</v>
      </c>
      <c r="I450" t="s">
        <v>53</v>
      </c>
      <c r="J450" s="16">
        <v>2</v>
      </c>
    </row>
    <row r="451" spans="1:10">
      <c r="A451" t="s">
        <v>1538</v>
      </c>
      <c r="B451" s="15">
        <v>46290</v>
      </c>
      <c r="C451" t="s">
        <v>1337</v>
      </c>
      <c r="D451" t="s">
        <v>616</v>
      </c>
      <c r="E451" t="s">
        <v>37</v>
      </c>
      <c r="F451" t="s">
        <v>1086</v>
      </c>
      <c r="G451" t="s">
        <v>1091</v>
      </c>
      <c r="H451" s="16">
        <v>10</v>
      </c>
      <c r="I451" t="s">
        <v>53</v>
      </c>
      <c r="J451" s="16">
        <v>3</v>
      </c>
    </row>
    <row r="452" spans="1:10">
      <c r="A452" t="s">
        <v>1539</v>
      </c>
      <c r="B452" s="15">
        <v>46256</v>
      </c>
      <c r="C452" t="s">
        <v>1337</v>
      </c>
      <c r="D452" t="s">
        <v>617</v>
      </c>
      <c r="E452" t="s">
        <v>37</v>
      </c>
      <c r="F452" t="s">
        <v>1084</v>
      </c>
      <c r="G452" t="s">
        <v>1093</v>
      </c>
      <c r="H452" s="16">
        <v>3</v>
      </c>
      <c r="I452" t="s">
        <v>53</v>
      </c>
      <c r="J452" s="16">
        <v>2</v>
      </c>
    </row>
    <row r="453" spans="1:10">
      <c r="A453" t="s">
        <v>1540</v>
      </c>
      <c r="B453" s="15">
        <v>46295</v>
      </c>
      <c r="C453" t="s">
        <v>1337</v>
      </c>
      <c r="D453" t="s">
        <v>949</v>
      </c>
      <c r="E453" t="s">
        <v>396</v>
      </c>
      <c r="F453" t="s">
        <v>1090</v>
      </c>
      <c r="G453" t="s">
        <v>1082</v>
      </c>
      <c r="H453" s="16">
        <v>6</v>
      </c>
      <c r="I453" t="s">
        <v>53</v>
      </c>
      <c r="J453" s="16">
        <v>3</v>
      </c>
    </row>
    <row r="454" spans="1:10">
      <c r="A454" t="s">
        <v>1541</v>
      </c>
      <c r="B454" s="15">
        <v>46236</v>
      </c>
      <c r="C454" t="s">
        <v>1337</v>
      </c>
      <c r="D454" t="s">
        <v>762</v>
      </c>
      <c r="E454" t="s">
        <v>231</v>
      </c>
      <c r="F454" t="s">
        <v>1086</v>
      </c>
      <c r="G454" t="s">
        <v>1082</v>
      </c>
      <c r="H454" s="16">
        <v>6</v>
      </c>
      <c r="I454" t="s">
        <v>53</v>
      </c>
      <c r="J454" s="16">
        <v>2</v>
      </c>
    </row>
    <row r="455" spans="1:10">
      <c r="A455" t="s">
        <v>1542</v>
      </c>
      <c r="B455" s="15">
        <v>46241</v>
      </c>
      <c r="C455" t="s">
        <v>1337</v>
      </c>
      <c r="D455" t="s">
        <v>702</v>
      </c>
      <c r="E455" t="s">
        <v>37</v>
      </c>
      <c r="F455" t="s">
        <v>1090</v>
      </c>
      <c r="G455" t="s">
        <v>1082</v>
      </c>
      <c r="H455" s="16">
        <v>3</v>
      </c>
      <c r="I455" t="s">
        <v>53</v>
      </c>
      <c r="J455" s="16">
        <v>3</v>
      </c>
    </row>
    <row r="456" spans="1:10">
      <c r="A456" t="s">
        <v>1543</v>
      </c>
      <c r="B456" s="15">
        <v>46227</v>
      </c>
      <c r="C456" t="s">
        <v>1337</v>
      </c>
      <c r="D456" t="s">
        <v>644</v>
      </c>
      <c r="E456" t="s">
        <v>37</v>
      </c>
      <c r="F456" t="s">
        <v>1081</v>
      </c>
      <c r="G456" t="s">
        <v>1082</v>
      </c>
      <c r="H456" s="16">
        <v>4</v>
      </c>
      <c r="I456" t="s">
        <v>53</v>
      </c>
      <c r="J456" s="16">
        <v>1</v>
      </c>
    </row>
    <row r="457" spans="1:10">
      <c r="A457" t="s">
        <v>1544</v>
      </c>
      <c r="B457" s="15">
        <v>46247</v>
      </c>
      <c r="C457" t="s">
        <v>1337</v>
      </c>
      <c r="D457" t="s">
        <v>680</v>
      </c>
      <c r="E457" t="s">
        <v>37</v>
      </c>
      <c r="F457" t="s">
        <v>1090</v>
      </c>
      <c r="G457" t="s">
        <v>1093</v>
      </c>
      <c r="H457" s="16">
        <v>10</v>
      </c>
      <c r="I457" t="s">
        <v>53</v>
      </c>
      <c r="J457" s="16">
        <v>2</v>
      </c>
    </row>
    <row r="458" spans="1:10">
      <c r="A458" t="s">
        <v>1545</v>
      </c>
      <c r="B458" s="15">
        <v>46289</v>
      </c>
      <c r="C458" t="s">
        <v>1337</v>
      </c>
      <c r="D458" t="s">
        <v>562</v>
      </c>
      <c r="E458" t="s">
        <v>37</v>
      </c>
      <c r="F458" t="s">
        <v>1086</v>
      </c>
      <c r="G458" t="s">
        <v>1093</v>
      </c>
      <c r="H458" s="16">
        <v>5</v>
      </c>
      <c r="I458" t="s">
        <v>41</v>
      </c>
      <c r="J458" s="16">
        <v>1</v>
      </c>
    </row>
    <row r="459" spans="1:10">
      <c r="A459" t="s">
        <v>1546</v>
      </c>
      <c r="B459" s="15">
        <v>46241</v>
      </c>
      <c r="C459" t="s">
        <v>1337</v>
      </c>
      <c r="D459" t="s">
        <v>1047</v>
      </c>
      <c r="E459" t="s">
        <v>396</v>
      </c>
      <c r="F459" t="s">
        <v>1086</v>
      </c>
      <c r="G459" t="s">
        <v>1082</v>
      </c>
      <c r="H459" s="16">
        <v>13</v>
      </c>
      <c r="I459" t="s">
        <v>53</v>
      </c>
      <c r="J459" s="16">
        <v>2</v>
      </c>
    </row>
    <row r="460" spans="1:10">
      <c r="A460" t="s">
        <v>1547</v>
      </c>
      <c r="B460" s="15">
        <v>46217</v>
      </c>
      <c r="C460" t="s">
        <v>1337</v>
      </c>
      <c r="D460" t="s">
        <v>635</v>
      </c>
      <c r="E460" t="s">
        <v>37</v>
      </c>
      <c r="F460" t="s">
        <v>1086</v>
      </c>
      <c r="G460" t="s">
        <v>1082</v>
      </c>
      <c r="H460" s="16">
        <v>8</v>
      </c>
      <c r="I460" t="s">
        <v>41</v>
      </c>
      <c r="J460" s="16">
        <v>2</v>
      </c>
    </row>
    <row r="461" spans="1:10">
      <c r="A461" t="s">
        <v>1548</v>
      </c>
      <c r="B461" s="15">
        <v>46226</v>
      </c>
      <c r="C461" t="s">
        <v>1337</v>
      </c>
      <c r="D461" t="s">
        <v>811</v>
      </c>
      <c r="E461" t="s">
        <v>231</v>
      </c>
      <c r="F461" t="s">
        <v>1086</v>
      </c>
      <c r="G461" t="s">
        <v>1082</v>
      </c>
      <c r="H461" s="16">
        <v>4</v>
      </c>
      <c r="I461" t="s">
        <v>53</v>
      </c>
      <c r="J461" s="16">
        <v>3</v>
      </c>
    </row>
    <row r="462" spans="1:10">
      <c r="A462" t="s">
        <v>1549</v>
      </c>
      <c r="B462" s="15">
        <v>46290</v>
      </c>
      <c r="C462" t="s">
        <v>1337</v>
      </c>
      <c r="D462" t="s">
        <v>1003</v>
      </c>
      <c r="E462" t="s">
        <v>396</v>
      </c>
      <c r="F462" t="s">
        <v>1086</v>
      </c>
      <c r="G462" t="s">
        <v>1082</v>
      </c>
      <c r="H462" s="16">
        <v>9</v>
      </c>
      <c r="I462" t="s">
        <v>41</v>
      </c>
      <c r="J462" s="16">
        <v>1</v>
      </c>
    </row>
    <row r="463" spans="1:10">
      <c r="A463" t="s">
        <v>1550</v>
      </c>
      <c r="B463" s="15">
        <v>46241</v>
      </c>
      <c r="C463" t="s">
        <v>1337</v>
      </c>
      <c r="D463" t="s">
        <v>602</v>
      </c>
      <c r="E463" t="s">
        <v>37</v>
      </c>
      <c r="F463" t="s">
        <v>1086</v>
      </c>
      <c r="G463" t="s">
        <v>1091</v>
      </c>
      <c r="H463" s="16">
        <v>6</v>
      </c>
      <c r="I463" t="s">
        <v>53</v>
      </c>
      <c r="J463" s="16">
        <v>1</v>
      </c>
    </row>
    <row r="464" spans="1:10">
      <c r="A464" t="s">
        <v>1551</v>
      </c>
      <c r="B464" s="15">
        <v>46271</v>
      </c>
      <c r="C464" t="s">
        <v>1337</v>
      </c>
      <c r="D464" t="s">
        <v>606</v>
      </c>
      <c r="E464" t="s">
        <v>37</v>
      </c>
      <c r="F464" t="s">
        <v>1086</v>
      </c>
      <c r="G464" t="s">
        <v>1082</v>
      </c>
      <c r="H464" s="16">
        <v>8</v>
      </c>
      <c r="I464" t="s">
        <v>41</v>
      </c>
      <c r="J464" s="16">
        <v>2</v>
      </c>
    </row>
    <row r="465" spans="1:10">
      <c r="A465" t="s">
        <v>1552</v>
      </c>
      <c r="B465" s="15">
        <v>46254</v>
      </c>
      <c r="C465" t="s">
        <v>1337</v>
      </c>
      <c r="D465" t="s">
        <v>727</v>
      </c>
      <c r="E465" t="s">
        <v>37</v>
      </c>
      <c r="F465" t="s">
        <v>1086</v>
      </c>
      <c r="G465" t="s">
        <v>1082</v>
      </c>
      <c r="H465" s="16">
        <v>13</v>
      </c>
      <c r="I465" t="s">
        <v>41</v>
      </c>
      <c r="J465" s="16">
        <v>1</v>
      </c>
    </row>
    <row r="466" spans="1:10">
      <c r="A466" t="s">
        <v>1553</v>
      </c>
      <c r="B466" s="15">
        <v>46262</v>
      </c>
      <c r="C466" t="s">
        <v>1337</v>
      </c>
      <c r="D466" t="s">
        <v>875</v>
      </c>
      <c r="E466" t="s">
        <v>231</v>
      </c>
      <c r="F466" t="s">
        <v>1090</v>
      </c>
      <c r="G466" t="s">
        <v>1082</v>
      </c>
      <c r="H466" s="16">
        <v>7</v>
      </c>
      <c r="I466" t="s">
        <v>53</v>
      </c>
      <c r="J466" s="16">
        <v>3</v>
      </c>
    </row>
    <row r="467" spans="1:10">
      <c r="A467" t="s">
        <v>1554</v>
      </c>
      <c r="B467" s="15">
        <v>46273</v>
      </c>
      <c r="C467" t="s">
        <v>1337</v>
      </c>
      <c r="D467" t="s">
        <v>928</v>
      </c>
      <c r="E467" t="s">
        <v>396</v>
      </c>
      <c r="F467" t="s">
        <v>1081</v>
      </c>
      <c r="G467" t="s">
        <v>1082</v>
      </c>
      <c r="H467" s="16">
        <v>7</v>
      </c>
      <c r="I467" t="s">
        <v>41</v>
      </c>
      <c r="J467" s="16">
        <v>1</v>
      </c>
    </row>
    <row r="468" spans="1:10">
      <c r="A468" t="s">
        <v>1555</v>
      </c>
      <c r="B468" s="15">
        <v>46267</v>
      </c>
      <c r="C468" t="s">
        <v>1337</v>
      </c>
      <c r="D468" t="s">
        <v>596</v>
      </c>
      <c r="E468" t="s">
        <v>37</v>
      </c>
      <c r="F468" t="s">
        <v>1086</v>
      </c>
      <c r="G468" t="s">
        <v>1093</v>
      </c>
      <c r="H468" s="16">
        <v>8</v>
      </c>
      <c r="I468" t="s">
        <v>53</v>
      </c>
      <c r="J468" s="16">
        <v>2</v>
      </c>
    </row>
    <row r="469" spans="1:10">
      <c r="A469" t="s">
        <v>1556</v>
      </c>
      <c r="B469" s="15">
        <v>46209</v>
      </c>
      <c r="C469" t="s">
        <v>1337</v>
      </c>
      <c r="D469" t="s">
        <v>1020</v>
      </c>
      <c r="E469" t="s">
        <v>396</v>
      </c>
      <c r="F469" t="s">
        <v>1086</v>
      </c>
      <c r="G469" t="s">
        <v>1091</v>
      </c>
      <c r="H469" s="16">
        <v>10</v>
      </c>
      <c r="I469" t="s">
        <v>53</v>
      </c>
      <c r="J469" s="16">
        <v>2</v>
      </c>
    </row>
    <row r="470" spans="1:10">
      <c r="A470" t="s">
        <v>1557</v>
      </c>
      <c r="B470" s="15">
        <v>46268</v>
      </c>
      <c r="C470" t="s">
        <v>1337</v>
      </c>
      <c r="D470" t="s">
        <v>1043</v>
      </c>
      <c r="E470" t="s">
        <v>396</v>
      </c>
      <c r="F470" t="s">
        <v>1086</v>
      </c>
      <c r="G470" t="s">
        <v>1093</v>
      </c>
      <c r="H470" s="16">
        <v>5</v>
      </c>
      <c r="I470" t="s">
        <v>41</v>
      </c>
      <c r="J470" s="16">
        <v>3</v>
      </c>
    </row>
    <row r="471" spans="1:10">
      <c r="A471" t="s">
        <v>1558</v>
      </c>
      <c r="B471" s="15">
        <v>46216</v>
      </c>
      <c r="C471" t="s">
        <v>1337</v>
      </c>
      <c r="D471" t="s">
        <v>1034</v>
      </c>
      <c r="E471" t="s">
        <v>396</v>
      </c>
      <c r="F471" t="s">
        <v>1086</v>
      </c>
      <c r="G471" t="s">
        <v>1093</v>
      </c>
      <c r="H471" s="16">
        <v>1</v>
      </c>
      <c r="I471" t="s">
        <v>53</v>
      </c>
      <c r="J471" s="16">
        <v>3</v>
      </c>
    </row>
    <row r="472" spans="1:10">
      <c r="A472" t="s">
        <v>1559</v>
      </c>
      <c r="B472" s="15">
        <v>46205</v>
      </c>
      <c r="C472" t="s">
        <v>1337</v>
      </c>
      <c r="D472" t="s">
        <v>743</v>
      </c>
      <c r="E472" t="s">
        <v>231</v>
      </c>
      <c r="F472" t="s">
        <v>1084</v>
      </c>
      <c r="G472" t="s">
        <v>1097</v>
      </c>
      <c r="H472" s="16">
        <v>9</v>
      </c>
      <c r="I472" t="s">
        <v>53</v>
      </c>
      <c r="J472" s="16">
        <v>3</v>
      </c>
    </row>
    <row r="473" spans="1:10">
      <c r="A473" t="s">
        <v>1560</v>
      </c>
      <c r="B473" s="15">
        <v>46207</v>
      </c>
      <c r="C473" t="s">
        <v>1337</v>
      </c>
      <c r="D473" t="s">
        <v>891</v>
      </c>
      <c r="E473" t="s">
        <v>231</v>
      </c>
      <c r="F473" t="s">
        <v>1086</v>
      </c>
      <c r="G473" t="s">
        <v>1097</v>
      </c>
      <c r="H473" s="16">
        <v>3</v>
      </c>
      <c r="I473" t="s">
        <v>53</v>
      </c>
      <c r="J473" s="16">
        <v>1</v>
      </c>
    </row>
    <row r="474" spans="1:10">
      <c r="A474" t="s">
        <v>1561</v>
      </c>
      <c r="B474" s="15">
        <v>46271</v>
      </c>
      <c r="C474" t="s">
        <v>1337</v>
      </c>
      <c r="D474" t="s">
        <v>544</v>
      </c>
      <c r="E474" t="s">
        <v>37</v>
      </c>
      <c r="F474" t="s">
        <v>1081</v>
      </c>
      <c r="G474" t="s">
        <v>1091</v>
      </c>
      <c r="H474" s="16">
        <v>7</v>
      </c>
      <c r="I474" t="s">
        <v>53</v>
      </c>
      <c r="J474" s="16">
        <v>3</v>
      </c>
    </row>
    <row r="475" spans="1:10">
      <c r="A475" t="s">
        <v>1562</v>
      </c>
      <c r="B475" s="15">
        <v>46285</v>
      </c>
      <c r="C475" t="s">
        <v>1337</v>
      </c>
      <c r="D475" t="s">
        <v>868</v>
      </c>
      <c r="E475" t="s">
        <v>231</v>
      </c>
      <c r="F475" t="s">
        <v>1090</v>
      </c>
      <c r="G475" t="s">
        <v>1082</v>
      </c>
      <c r="H475" s="16">
        <v>5</v>
      </c>
      <c r="I475" t="s">
        <v>53</v>
      </c>
      <c r="J475" s="16">
        <v>3</v>
      </c>
    </row>
    <row r="476" spans="1:10">
      <c r="A476" t="s">
        <v>1563</v>
      </c>
      <c r="B476" s="15">
        <v>46257</v>
      </c>
      <c r="C476" t="s">
        <v>1337</v>
      </c>
      <c r="D476" t="s">
        <v>540</v>
      </c>
      <c r="E476" t="s">
        <v>37</v>
      </c>
      <c r="F476" t="s">
        <v>1086</v>
      </c>
      <c r="G476" t="s">
        <v>1082</v>
      </c>
      <c r="H476" s="16">
        <v>5</v>
      </c>
      <c r="I476" t="s">
        <v>53</v>
      </c>
      <c r="J476" s="16">
        <v>4</v>
      </c>
    </row>
    <row r="477" spans="1:10">
      <c r="A477" t="s">
        <v>1564</v>
      </c>
      <c r="B477" s="15">
        <v>46251</v>
      </c>
      <c r="C477" t="s">
        <v>1337</v>
      </c>
      <c r="D477" t="s">
        <v>1004</v>
      </c>
      <c r="E477" t="s">
        <v>396</v>
      </c>
      <c r="F477" t="s">
        <v>1086</v>
      </c>
      <c r="G477" t="s">
        <v>1093</v>
      </c>
      <c r="H477" s="16">
        <v>13</v>
      </c>
      <c r="I477" t="s">
        <v>53</v>
      </c>
      <c r="J477" s="16">
        <v>3</v>
      </c>
    </row>
    <row r="478" spans="1:10">
      <c r="A478" t="s">
        <v>1565</v>
      </c>
      <c r="B478" s="15">
        <v>46271</v>
      </c>
      <c r="C478" t="s">
        <v>1337</v>
      </c>
      <c r="D478" t="s">
        <v>1063</v>
      </c>
      <c r="E478" t="s">
        <v>396</v>
      </c>
      <c r="F478" t="s">
        <v>1084</v>
      </c>
      <c r="G478" t="s">
        <v>1091</v>
      </c>
      <c r="H478" s="16">
        <v>9</v>
      </c>
      <c r="I478" t="s">
        <v>53</v>
      </c>
      <c r="J478" s="16">
        <v>1</v>
      </c>
    </row>
    <row r="479" spans="1:10">
      <c r="A479" t="s">
        <v>1566</v>
      </c>
      <c r="B479" s="15">
        <v>46233</v>
      </c>
      <c r="C479" t="s">
        <v>1337</v>
      </c>
      <c r="D479" t="s">
        <v>642</v>
      </c>
      <c r="E479" t="s">
        <v>37</v>
      </c>
      <c r="F479" t="s">
        <v>1081</v>
      </c>
      <c r="G479" t="s">
        <v>1082</v>
      </c>
      <c r="H479" s="16">
        <v>7</v>
      </c>
      <c r="I479" t="s">
        <v>53</v>
      </c>
      <c r="J479" s="16">
        <v>2</v>
      </c>
    </row>
    <row r="480" spans="1:10">
      <c r="A480" t="s">
        <v>1567</v>
      </c>
      <c r="B480" s="15">
        <v>46228</v>
      </c>
      <c r="C480" t="s">
        <v>1337</v>
      </c>
      <c r="D480" t="s">
        <v>959</v>
      </c>
      <c r="E480" t="s">
        <v>396</v>
      </c>
      <c r="F480" t="s">
        <v>1086</v>
      </c>
      <c r="G480" t="s">
        <v>1082</v>
      </c>
      <c r="H480" s="16">
        <v>6</v>
      </c>
      <c r="I480" t="s">
        <v>53</v>
      </c>
      <c r="J480" s="16">
        <v>3</v>
      </c>
    </row>
    <row r="481" spans="1:10">
      <c r="A481" t="s">
        <v>1568</v>
      </c>
      <c r="B481" s="15">
        <v>46281</v>
      </c>
      <c r="C481" t="s">
        <v>1337</v>
      </c>
      <c r="D481" t="s">
        <v>695</v>
      </c>
      <c r="E481" t="s">
        <v>37</v>
      </c>
      <c r="F481" t="s">
        <v>1090</v>
      </c>
      <c r="G481" t="s">
        <v>1093</v>
      </c>
      <c r="H481" s="16">
        <v>7</v>
      </c>
      <c r="I481" t="s">
        <v>53</v>
      </c>
      <c r="J481" s="16">
        <v>2</v>
      </c>
    </row>
    <row r="482" spans="1:10">
      <c r="A482" t="s">
        <v>1569</v>
      </c>
      <c r="B482" s="15">
        <v>46213</v>
      </c>
      <c r="C482" t="s">
        <v>1337</v>
      </c>
      <c r="D482" t="s">
        <v>764</v>
      </c>
      <c r="E482" t="s">
        <v>231</v>
      </c>
      <c r="F482" t="s">
        <v>1084</v>
      </c>
      <c r="G482" t="s">
        <v>1082</v>
      </c>
      <c r="H482" s="16">
        <v>9</v>
      </c>
      <c r="I482" t="s">
        <v>53</v>
      </c>
      <c r="J482" s="16">
        <v>3</v>
      </c>
    </row>
    <row r="483" spans="1:10">
      <c r="A483" t="s">
        <v>1570</v>
      </c>
      <c r="B483" s="15">
        <v>46241</v>
      </c>
      <c r="C483" t="s">
        <v>1337</v>
      </c>
      <c r="D483" t="s">
        <v>949</v>
      </c>
      <c r="E483" t="s">
        <v>396</v>
      </c>
      <c r="F483" t="s">
        <v>1086</v>
      </c>
      <c r="G483" t="s">
        <v>1082</v>
      </c>
      <c r="H483" s="16">
        <v>8</v>
      </c>
      <c r="I483" t="s">
        <v>53</v>
      </c>
      <c r="J483" s="16">
        <v>4</v>
      </c>
    </row>
    <row r="484" spans="1:10">
      <c r="A484" t="s">
        <v>1571</v>
      </c>
      <c r="B484" s="15">
        <v>46206</v>
      </c>
      <c r="C484" t="s">
        <v>1337</v>
      </c>
      <c r="D484" t="s">
        <v>740</v>
      </c>
      <c r="E484" t="s">
        <v>37</v>
      </c>
      <c r="F484" t="s">
        <v>1090</v>
      </c>
      <c r="G484" t="s">
        <v>1082</v>
      </c>
      <c r="H484" s="16">
        <v>3</v>
      </c>
      <c r="I484" t="s">
        <v>41</v>
      </c>
      <c r="J484" s="16">
        <v>4</v>
      </c>
    </row>
    <row r="485" spans="1:10">
      <c r="A485" t="s">
        <v>1572</v>
      </c>
      <c r="B485" s="15">
        <v>46258</v>
      </c>
      <c r="C485" t="s">
        <v>1337</v>
      </c>
      <c r="D485" t="s">
        <v>1027</v>
      </c>
      <c r="E485" t="s">
        <v>396</v>
      </c>
      <c r="F485" t="s">
        <v>1086</v>
      </c>
      <c r="G485" t="s">
        <v>1093</v>
      </c>
      <c r="H485" s="16">
        <v>9</v>
      </c>
      <c r="I485" t="s">
        <v>53</v>
      </c>
      <c r="J485" s="16">
        <v>3</v>
      </c>
    </row>
    <row r="486" spans="1:10">
      <c r="A486" t="s">
        <v>1573</v>
      </c>
      <c r="B486" s="15">
        <v>46220</v>
      </c>
      <c r="C486" t="s">
        <v>1337</v>
      </c>
      <c r="D486" t="s">
        <v>850</v>
      </c>
      <c r="E486" t="s">
        <v>231</v>
      </c>
      <c r="F486" t="s">
        <v>1084</v>
      </c>
      <c r="G486" t="s">
        <v>1097</v>
      </c>
      <c r="H486" s="16">
        <v>6</v>
      </c>
      <c r="I486" t="s">
        <v>53</v>
      </c>
      <c r="J486" s="16">
        <v>4</v>
      </c>
    </row>
    <row r="487" spans="1:10">
      <c r="A487" t="s">
        <v>1574</v>
      </c>
      <c r="B487" s="15">
        <v>46228</v>
      </c>
      <c r="C487" t="s">
        <v>1337</v>
      </c>
      <c r="D487" t="s">
        <v>930</v>
      </c>
      <c r="E487" t="s">
        <v>396</v>
      </c>
      <c r="F487" t="s">
        <v>1090</v>
      </c>
      <c r="G487" t="s">
        <v>1093</v>
      </c>
      <c r="H487" s="16">
        <v>3</v>
      </c>
      <c r="I487" t="s">
        <v>53</v>
      </c>
      <c r="J487" s="16">
        <v>1</v>
      </c>
    </row>
    <row r="488" spans="1:10">
      <c r="A488" t="s">
        <v>1575</v>
      </c>
      <c r="B488" s="15">
        <v>46207</v>
      </c>
      <c r="C488" t="s">
        <v>1337</v>
      </c>
      <c r="D488" t="s">
        <v>639</v>
      </c>
      <c r="E488" t="s">
        <v>37</v>
      </c>
      <c r="F488" t="s">
        <v>1086</v>
      </c>
      <c r="G488" t="s">
        <v>1082</v>
      </c>
      <c r="H488" s="16">
        <v>7</v>
      </c>
      <c r="I488" t="s">
        <v>41</v>
      </c>
      <c r="J488" s="16">
        <v>1</v>
      </c>
    </row>
    <row r="489" spans="1:10">
      <c r="A489" t="s">
        <v>1576</v>
      </c>
      <c r="B489" s="15">
        <v>46231</v>
      </c>
      <c r="C489" t="s">
        <v>1337</v>
      </c>
      <c r="D489" t="s">
        <v>941</v>
      </c>
      <c r="E489" t="s">
        <v>396</v>
      </c>
      <c r="F489" t="s">
        <v>1081</v>
      </c>
      <c r="G489" t="s">
        <v>1082</v>
      </c>
      <c r="H489" s="16">
        <v>9</v>
      </c>
      <c r="I489" t="s">
        <v>53</v>
      </c>
      <c r="J489" s="16">
        <v>2</v>
      </c>
    </row>
    <row r="490" spans="1:10">
      <c r="A490" t="s">
        <v>1577</v>
      </c>
      <c r="B490" s="15">
        <v>46259</v>
      </c>
      <c r="C490" t="s">
        <v>1337</v>
      </c>
      <c r="D490" t="s">
        <v>1046</v>
      </c>
      <c r="E490" t="s">
        <v>396</v>
      </c>
      <c r="F490" t="s">
        <v>1086</v>
      </c>
      <c r="G490" t="s">
        <v>1097</v>
      </c>
      <c r="H490" s="16">
        <v>7</v>
      </c>
      <c r="I490" t="s">
        <v>53</v>
      </c>
      <c r="J490" s="16">
        <v>1</v>
      </c>
    </row>
    <row r="491" spans="1:10">
      <c r="A491" t="s">
        <v>1578</v>
      </c>
      <c r="B491" s="15">
        <v>46266</v>
      </c>
      <c r="C491" t="s">
        <v>1337</v>
      </c>
      <c r="D491" t="s">
        <v>1040</v>
      </c>
      <c r="E491" t="s">
        <v>396</v>
      </c>
      <c r="F491" t="s">
        <v>1086</v>
      </c>
      <c r="G491" t="s">
        <v>1082</v>
      </c>
      <c r="H491" s="16">
        <v>5</v>
      </c>
      <c r="I491" t="s">
        <v>53</v>
      </c>
      <c r="J491" s="16">
        <v>1</v>
      </c>
    </row>
    <row r="492" spans="1:10">
      <c r="A492" t="s">
        <v>1579</v>
      </c>
      <c r="B492" s="15">
        <v>46237</v>
      </c>
      <c r="C492" t="s">
        <v>1337</v>
      </c>
      <c r="D492" t="s">
        <v>990</v>
      </c>
      <c r="E492" t="s">
        <v>396</v>
      </c>
      <c r="F492" t="s">
        <v>1081</v>
      </c>
      <c r="G492" t="s">
        <v>1082</v>
      </c>
      <c r="H492" s="16">
        <v>2</v>
      </c>
      <c r="I492" t="s">
        <v>53</v>
      </c>
      <c r="J492" s="16">
        <v>3</v>
      </c>
    </row>
    <row r="493" spans="1:10">
      <c r="A493" t="s">
        <v>1580</v>
      </c>
      <c r="B493" s="15">
        <v>46242</v>
      </c>
      <c r="C493" t="s">
        <v>1337</v>
      </c>
      <c r="D493" t="s">
        <v>1057</v>
      </c>
      <c r="E493" t="s">
        <v>396</v>
      </c>
      <c r="F493" t="s">
        <v>1081</v>
      </c>
      <c r="G493" t="s">
        <v>1093</v>
      </c>
      <c r="H493" s="16">
        <v>4</v>
      </c>
      <c r="I493" t="s">
        <v>53</v>
      </c>
      <c r="J493" s="16">
        <v>2</v>
      </c>
    </row>
    <row r="494" spans="1:10">
      <c r="A494" t="s">
        <v>1581</v>
      </c>
      <c r="B494" s="15">
        <v>46234</v>
      </c>
      <c r="C494" t="s">
        <v>1337</v>
      </c>
      <c r="D494" t="s">
        <v>1038</v>
      </c>
      <c r="E494" t="s">
        <v>396</v>
      </c>
      <c r="F494" t="s">
        <v>1086</v>
      </c>
      <c r="G494" t="s">
        <v>1091</v>
      </c>
      <c r="H494" s="16">
        <v>4</v>
      </c>
      <c r="I494" t="s">
        <v>53</v>
      </c>
      <c r="J494" s="16">
        <v>2</v>
      </c>
    </row>
    <row r="495" spans="1:10">
      <c r="A495" t="s">
        <v>1582</v>
      </c>
      <c r="B495" s="15">
        <v>46271</v>
      </c>
      <c r="C495" t="s">
        <v>1337</v>
      </c>
      <c r="D495" t="s">
        <v>575</v>
      </c>
      <c r="E495" t="s">
        <v>37</v>
      </c>
      <c r="F495" t="s">
        <v>1086</v>
      </c>
      <c r="G495" t="s">
        <v>1093</v>
      </c>
      <c r="H495" s="16">
        <v>6</v>
      </c>
      <c r="I495" t="s">
        <v>41</v>
      </c>
      <c r="J495" s="16">
        <v>4</v>
      </c>
    </row>
    <row r="496" spans="1:10">
      <c r="A496" t="s">
        <v>1583</v>
      </c>
      <c r="B496" s="15">
        <v>46210</v>
      </c>
      <c r="C496" t="s">
        <v>1337</v>
      </c>
      <c r="D496" t="s">
        <v>767</v>
      </c>
      <c r="E496" t="s">
        <v>231</v>
      </c>
      <c r="F496" t="s">
        <v>1084</v>
      </c>
      <c r="G496" t="s">
        <v>1082</v>
      </c>
      <c r="H496" s="16">
        <v>7</v>
      </c>
      <c r="I496" t="s">
        <v>53</v>
      </c>
      <c r="J496" s="16">
        <v>1</v>
      </c>
    </row>
    <row r="497" spans="1:10">
      <c r="A497" t="s">
        <v>1584</v>
      </c>
      <c r="B497" s="15">
        <v>46206</v>
      </c>
      <c r="C497" t="s">
        <v>1337</v>
      </c>
      <c r="D497" t="s">
        <v>696</v>
      </c>
      <c r="E497" t="s">
        <v>37</v>
      </c>
      <c r="F497" t="s">
        <v>1086</v>
      </c>
      <c r="G497" t="s">
        <v>1093</v>
      </c>
      <c r="H497" s="16">
        <v>10</v>
      </c>
      <c r="I497" t="s">
        <v>53</v>
      </c>
      <c r="J497" s="16">
        <v>4</v>
      </c>
    </row>
    <row r="498" spans="1:10">
      <c r="A498" t="s">
        <v>1585</v>
      </c>
      <c r="B498" s="15">
        <v>46241</v>
      </c>
      <c r="C498" t="s">
        <v>1337</v>
      </c>
      <c r="D498" t="s">
        <v>614</v>
      </c>
      <c r="E498" t="s">
        <v>37</v>
      </c>
      <c r="F498" t="s">
        <v>1084</v>
      </c>
      <c r="G498" t="s">
        <v>1093</v>
      </c>
      <c r="H498" s="16">
        <v>1</v>
      </c>
      <c r="I498" t="s">
        <v>53</v>
      </c>
      <c r="J498" s="16">
        <v>1</v>
      </c>
    </row>
    <row r="499" spans="1:10">
      <c r="A499" t="s">
        <v>1586</v>
      </c>
      <c r="B499" s="15">
        <v>46261</v>
      </c>
      <c r="C499" t="s">
        <v>1337</v>
      </c>
      <c r="D499" t="s">
        <v>981</v>
      </c>
      <c r="E499" t="s">
        <v>396</v>
      </c>
      <c r="F499" t="s">
        <v>1084</v>
      </c>
      <c r="G499" t="s">
        <v>1082</v>
      </c>
      <c r="H499" s="16">
        <v>6</v>
      </c>
      <c r="I499" t="s">
        <v>41</v>
      </c>
      <c r="J499" s="16">
        <v>4</v>
      </c>
    </row>
    <row r="500" spans="1:10">
      <c r="A500" t="s">
        <v>1587</v>
      </c>
      <c r="B500" s="15">
        <v>46284</v>
      </c>
      <c r="C500" t="s">
        <v>1337</v>
      </c>
      <c r="D500" t="s">
        <v>848</v>
      </c>
      <c r="E500" t="s">
        <v>231</v>
      </c>
      <c r="F500" t="s">
        <v>1086</v>
      </c>
      <c r="G500" t="s">
        <v>1082</v>
      </c>
      <c r="H500" s="16">
        <v>9</v>
      </c>
      <c r="I500" t="s">
        <v>53</v>
      </c>
      <c r="J500" s="16">
        <v>3</v>
      </c>
    </row>
    <row r="501" spans="1:10">
      <c r="A501" t="s">
        <v>1588</v>
      </c>
      <c r="B501" s="15">
        <v>46288</v>
      </c>
      <c r="C501" t="s">
        <v>1337</v>
      </c>
      <c r="D501" t="s">
        <v>991</v>
      </c>
      <c r="E501" t="s">
        <v>396</v>
      </c>
      <c r="F501" t="s">
        <v>1086</v>
      </c>
      <c r="G501" t="s">
        <v>1093</v>
      </c>
      <c r="H501" s="16">
        <v>10</v>
      </c>
      <c r="I501" t="s">
        <v>53</v>
      </c>
      <c r="J501" s="16">
        <v>3</v>
      </c>
    </row>
    <row r="502" spans="1:10">
      <c r="A502" t="s">
        <v>1589</v>
      </c>
      <c r="B502" s="15">
        <v>46290</v>
      </c>
      <c r="C502" t="s">
        <v>1337</v>
      </c>
      <c r="D502" t="s">
        <v>857</v>
      </c>
      <c r="E502" t="s">
        <v>231</v>
      </c>
      <c r="F502" t="s">
        <v>1086</v>
      </c>
      <c r="G502" t="s">
        <v>1093</v>
      </c>
      <c r="H502" s="16">
        <v>4</v>
      </c>
      <c r="I502" t="s">
        <v>53</v>
      </c>
      <c r="J502" s="16">
        <v>4</v>
      </c>
    </row>
    <row r="503" spans="1:10">
      <c r="A503" t="s">
        <v>1590</v>
      </c>
      <c r="B503" s="15">
        <v>46272</v>
      </c>
      <c r="C503" t="s">
        <v>1337</v>
      </c>
      <c r="D503" t="s">
        <v>1009</v>
      </c>
      <c r="E503" t="s">
        <v>396</v>
      </c>
      <c r="F503" t="s">
        <v>1086</v>
      </c>
      <c r="G503" t="s">
        <v>1091</v>
      </c>
      <c r="H503" s="16">
        <v>3</v>
      </c>
      <c r="I503" t="s">
        <v>53</v>
      </c>
      <c r="J503" s="16">
        <v>2</v>
      </c>
    </row>
    <row r="504" spans="1:10">
      <c r="A504" t="s">
        <v>1591</v>
      </c>
      <c r="B504" s="15">
        <v>46217</v>
      </c>
      <c r="C504" t="s">
        <v>1337</v>
      </c>
      <c r="D504" t="s">
        <v>816</v>
      </c>
      <c r="E504" t="s">
        <v>231</v>
      </c>
      <c r="F504" t="s">
        <v>1086</v>
      </c>
      <c r="G504" t="s">
        <v>1082</v>
      </c>
      <c r="H504" s="16">
        <v>4</v>
      </c>
      <c r="I504" t="s">
        <v>53</v>
      </c>
      <c r="J504" s="16">
        <v>3</v>
      </c>
    </row>
    <row r="505" spans="1:10">
      <c r="A505" t="s">
        <v>1592</v>
      </c>
      <c r="B505" s="15">
        <v>46276</v>
      </c>
      <c r="C505" t="s">
        <v>1337</v>
      </c>
      <c r="D505" t="s">
        <v>965</v>
      </c>
      <c r="E505" t="s">
        <v>396</v>
      </c>
      <c r="F505" t="s">
        <v>1090</v>
      </c>
      <c r="G505" t="s">
        <v>1091</v>
      </c>
      <c r="H505" s="16">
        <v>4</v>
      </c>
      <c r="I505" t="s">
        <v>53</v>
      </c>
      <c r="J505" s="16">
        <v>2</v>
      </c>
    </row>
    <row r="506" spans="1:10">
      <c r="A506" t="s">
        <v>1593</v>
      </c>
      <c r="B506" s="15">
        <v>46241</v>
      </c>
      <c r="C506" t="s">
        <v>1337</v>
      </c>
      <c r="D506" t="s">
        <v>952</v>
      </c>
      <c r="E506" t="s">
        <v>396</v>
      </c>
      <c r="F506" t="s">
        <v>1081</v>
      </c>
      <c r="G506" t="s">
        <v>1097</v>
      </c>
      <c r="H506" s="16">
        <v>7</v>
      </c>
      <c r="I506" t="s">
        <v>41</v>
      </c>
      <c r="J506" s="16">
        <v>2</v>
      </c>
    </row>
    <row r="507" spans="1:10">
      <c r="A507" t="s">
        <v>1594</v>
      </c>
      <c r="B507" s="15">
        <v>46275</v>
      </c>
      <c r="C507" t="s">
        <v>1337</v>
      </c>
      <c r="D507" t="s">
        <v>555</v>
      </c>
      <c r="E507" t="s">
        <v>37</v>
      </c>
      <c r="F507" t="s">
        <v>1086</v>
      </c>
      <c r="G507" t="s">
        <v>1093</v>
      </c>
      <c r="H507" s="16">
        <v>6</v>
      </c>
      <c r="I507" t="s">
        <v>53</v>
      </c>
      <c r="J507" s="16">
        <v>3</v>
      </c>
    </row>
    <row r="508" spans="1:10">
      <c r="A508" t="s">
        <v>1595</v>
      </c>
      <c r="B508" s="15">
        <v>46285</v>
      </c>
      <c r="C508" t="s">
        <v>1337</v>
      </c>
      <c r="D508" t="s">
        <v>771</v>
      </c>
      <c r="E508" t="s">
        <v>231</v>
      </c>
      <c r="F508" t="s">
        <v>1086</v>
      </c>
      <c r="G508" t="s">
        <v>1082</v>
      </c>
      <c r="H508" s="16">
        <v>4</v>
      </c>
      <c r="I508" t="s">
        <v>53</v>
      </c>
      <c r="J508" s="16">
        <v>3</v>
      </c>
    </row>
    <row r="509" spans="1:10">
      <c r="A509" t="s">
        <v>1596</v>
      </c>
      <c r="B509" s="15">
        <v>46286</v>
      </c>
      <c r="C509" t="s">
        <v>1337</v>
      </c>
      <c r="D509" t="s">
        <v>654</v>
      </c>
      <c r="E509" t="s">
        <v>37</v>
      </c>
      <c r="F509" t="s">
        <v>1086</v>
      </c>
      <c r="G509" t="s">
        <v>1082</v>
      </c>
      <c r="H509" s="16">
        <v>1</v>
      </c>
      <c r="I509" t="s">
        <v>53</v>
      </c>
      <c r="J509" s="16">
        <v>1</v>
      </c>
    </row>
    <row r="510" spans="1:10">
      <c r="A510" t="s">
        <v>1597</v>
      </c>
      <c r="B510" s="15">
        <v>46270</v>
      </c>
      <c r="C510" t="s">
        <v>1337</v>
      </c>
      <c r="D510" t="s">
        <v>696</v>
      </c>
      <c r="E510" t="s">
        <v>37</v>
      </c>
      <c r="F510" t="s">
        <v>1081</v>
      </c>
      <c r="G510" t="s">
        <v>1082</v>
      </c>
      <c r="H510" s="16">
        <v>7</v>
      </c>
      <c r="I510" t="s">
        <v>41</v>
      </c>
      <c r="J510" s="16">
        <v>2</v>
      </c>
    </row>
    <row r="511" spans="1:10">
      <c r="A511" t="s">
        <v>1598</v>
      </c>
      <c r="B511" s="15">
        <v>46250</v>
      </c>
      <c r="C511" t="s">
        <v>1337</v>
      </c>
      <c r="D511" t="s">
        <v>978</v>
      </c>
      <c r="E511" t="s">
        <v>396</v>
      </c>
      <c r="F511" t="s">
        <v>1084</v>
      </c>
      <c r="G511" t="s">
        <v>1082</v>
      </c>
      <c r="H511" s="16">
        <v>10</v>
      </c>
      <c r="I511" t="s">
        <v>53</v>
      </c>
      <c r="J511" s="16">
        <v>3</v>
      </c>
    </row>
    <row r="512" spans="1:10">
      <c r="A512" t="s">
        <v>1599</v>
      </c>
      <c r="B512" s="15">
        <v>46240</v>
      </c>
      <c r="C512" t="s">
        <v>1337</v>
      </c>
      <c r="D512" t="s">
        <v>540</v>
      </c>
      <c r="E512" t="s">
        <v>37</v>
      </c>
      <c r="F512" t="s">
        <v>1086</v>
      </c>
      <c r="G512" t="s">
        <v>1093</v>
      </c>
      <c r="H512" s="16">
        <v>3</v>
      </c>
      <c r="I512" t="s">
        <v>53</v>
      </c>
      <c r="J512" s="16">
        <v>1</v>
      </c>
    </row>
    <row r="513" spans="1:10">
      <c r="A513" t="s">
        <v>1600</v>
      </c>
      <c r="B513" s="15">
        <v>46219</v>
      </c>
      <c r="C513" t="s">
        <v>1337</v>
      </c>
      <c r="D513" t="s">
        <v>577</v>
      </c>
      <c r="E513" t="s">
        <v>37</v>
      </c>
      <c r="F513" t="s">
        <v>1081</v>
      </c>
      <c r="G513" t="s">
        <v>1093</v>
      </c>
      <c r="H513" s="16">
        <v>6</v>
      </c>
      <c r="I513" t="s">
        <v>41</v>
      </c>
      <c r="J513" s="16">
        <v>4</v>
      </c>
    </row>
    <row r="514" spans="1:10">
      <c r="A514" t="s">
        <v>1601</v>
      </c>
      <c r="B514" s="15">
        <v>46255</v>
      </c>
      <c r="C514" t="s">
        <v>1337</v>
      </c>
      <c r="D514" t="s">
        <v>892</v>
      </c>
      <c r="E514" t="s">
        <v>231</v>
      </c>
      <c r="F514" t="s">
        <v>1081</v>
      </c>
      <c r="G514" t="s">
        <v>1097</v>
      </c>
      <c r="H514" s="16">
        <v>4</v>
      </c>
      <c r="I514" t="s">
        <v>53</v>
      </c>
      <c r="J514" s="16">
        <v>2</v>
      </c>
    </row>
    <row r="515" spans="1:10">
      <c r="A515" t="s">
        <v>1602</v>
      </c>
      <c r="B515" s="15">
        <v>46259</v>
      </c>
      <c r="C515" t="s">
        <v>1337</v>
      </c>
      <c r="D515" t="s">
        <v>984</v>
      </c>
      <c r="E515" t="s">
        <v>396</v>
      </c>
      <c r="F515" t="s">
        <v>1084</v>
      </c>
      <c r="G515" t="s">
        <v>1093</v>
      </c>
      <c r="H515" s="16">
        <v>5</v>
      </c>
      <c r="I515" t="s">
        <v>53</v>
      </c>
      <c r="J515" s="16">
        <v>2</v>
      </c>
    </row>
    <row r="516" spans="1:10">
      <c r="A516" t="s">
        <v>1603</v>
      </c>
      <c r="B516" s="15">
        <v>46213</v>
      </c>
      <c r="C516" t="s">
        <v>1337</v>
      </c>
      <c r="D516" t="s">
        <v>971</v>
      </c>
      <c r="E516" t="s">
        <v>396</v>
      </c>
      <c r="F516" t="s">
        <v>1090</v>
      </c>
      <c r="G516" t="s">
        <v>1091</v>
      </c>
      <c r="H516" s="16">
        <v>3</v>
      </c>
      <c r="I516" t="s">
        <v>53</v>
      </c>
      <c r="J516" s="16">
        <v>4</v>
      </c>
    </row>
    <row r="517" spans="1:10">
      <c r="A517" t="s">
        <v>1604</v>
      </c>
      <c r="B517" s="15">
        <v>46216</v>
      </c>
      <c r="C517" t="s">
        <v>1337</v>
      </c>
      <c r="D517" t="s">
        <v>713</v>
      </c>
      <c r="E517" t="s">
        <v>37</v>
      </c>
      <c r="F517" t="s">
        <v>1084</v>
      </c>
      <c r="G517" t="s">
        <v>1091</v>
      </c>
      <c r="H517" s="16">
        <v>5</v>
      </c>
      <c r="I517" t="s">
        <v>53</v>
      </c>
      <c r="J517" s="16">
        <v>3</v>
      </c>
    </row>
    <row r="518" spans="1:10">
      <c r="A518" t="s">
        <v>1605</v>
      </c>
      <c r="B518" s="15">
        <v>46277</v>
      </c>
      <c r="C518" t="s">
        <v>1337</v>
      </c>
      <c r="D518" t="s">
        <v>627</v>
      </c>
      <c r="E518" t="s">
        <v>37</v>
      </c>
      <c r="F518" t="s">
        <v>1086</v>
      </c>
      <c r="G518" t="s">
        <v>1093</v>
      </c>
      <c r="H518" s="16">
        <v>10</v>
      </c>
      <c r="I518" t="s">
        <v>41</v>
      </c>
      <c r="J518" s="16">
        <v>2</v>
      </c>
    </row>
    <row r="519" spans="1:10">
      <c r="A519" t="s">
        <v>1606</v>
      </c>
      <c r="B519" s="15">
        <v>46228</v>
      </c>
      <c r="C519" t="s">
        <v>1337</v>
      </c>
      <c r="D519" t="s">
        <v>984</v>
      </c>
      <c r="E519" t="s">
        <v>396</v>
      </c>
      <c r="F519" t="s">
        <v>1084</v>
      </c>
      <c r="G519" t="s">
        <v>1097</v>
      </c>
      <c r="H519" s="16">
        <v>4</v>
      </c>
      <c r="I519" t="s">
        <v>53</v>
      </c>
      <c r="J519" s="16">
        <v>2</v>
      </c>
    </row>
    <row r="520" spans="1:10">
      <c r="A520" t="s">
        <v>1607</v>
      </c>
      <c r="B520" s="15">
        <v>46238</v>
      </c>
      <c r="C520" t="s">
        <v>1337</v>
      </c>
      <c r="D520" t="s">
        <v>701</v>
      </c>
      <c r="E520" t="s">
        <v>37</v>
      </c>
      <c r="F520" t="s">
        <v>1081</v>
      </c>
      <c r="G520" t="s">
        <v>1082</v>
      </c>
      <c r="H520" s="16">
        <v>8</v>
      </c>
      <c r="I520" t="s">
        <v>53</v>
      </c>
      <c r="J520" s="16">
        <v>3</v>
      </c>
    </row>
    <row r="521" spans="1:10">
      <c r="A521" t="s">
        <v>1608</v>
      </c>
      <c r="B521" s="15">
        <v>46265</v>
      </c>
      <c r="C521" t="s">
        <v>1337</v>
      </c>
      <c r="D521" t="s">
        <v>733</v>
      </c>
      <c r="E521" t="s">
        <v>37</v>
      </c>
      <c r="F521" t="s">
        <v>1086</v>
      </c>
      <c r="G521" t="s">
        <v>1093</v>
      </c>
      <c r="H521" s="16">
        <v>9</v>
      </c>
      <c r="I521" t="s">
        <v>41</v>
      </c>
      <c r="J521" s="16">
        <v>2</v>
      </c>
    </row>
    <row r="522" spans="1:10">
      <c r="A522" t="s">
        <v>1609</v>
      </c>
      <c r="B522" s="15">
        <v>46253</v>
      </c>
      <c r="C522" t="s">
        <v>1337</v>
      </c>
      <c r="D522" t="s">
        <v>932</v>
      </c>
      <c r="E522" t="s">
        <v>396</v>
      </c>
      <c r="F522" t="s">
        <v>1086</v>
      </c>
      <c r="G522" t="s">
        <v>1082</v>
      </c>
      <c r="H522" s="16">
        <v>11</v>
      </c>
      <c r="I522" t="s">
        <v>53</v>
      </c>
      <c r="J522" s="16">
        <v>3</v>
      </c>
    </row>
    <row r="523" spans="1:10">
      <c r="A523" t="s">
        <v>1610</v>
      </c>
      <c r="B523" s="15">
        <v>46268</v>
      </c>
      <c r="C523" t="s">
        <v>1337</v>
      </c>
      <c r="D523" t="s">
        <v>592</v>
      </c>
      <c r="E523" t="s">
        <v>37</v>
      </c>
      <c r="F523" t="s">
        <v>1084</v>
      </c>
      <c r="G523" t="s">
        <v>1097</v>
      </c>
      <c r="H523" s="16">
        <v>7</v>
      </c>
      <c r="I523" t="s">
        <v>53</v>
      </c>
      <c r="J523" s="16">
        <v>3</v>
      </c>
    </row>
    <row r="524" spans="1:10">
      <c r="A524" t="s">
        <v>1611</v>
      </c>
      <c r="B524" s="15">
        <v>46210</v>
      </c>
      <c r="C524" t="s">
        <v>1337</v>
      </c>
      <c r="D524" t="s">
        <v>557</v>
      </c>
      <c r="E524" t="s">
        <v>37</v>
      </c>
      <c r="F524" t="s">
        <v>1086</v>
      </c>
      <c r="G524" t="s">
        <v>1091</v>
      </c>
      <c r="H524" s="16">
        <v>4</v>
      </c>
      <c r="I524" t="s">
        <v>53</v>
      </c>
      <c r="J524" s="16">
        <v>1</v>
      </c>
    </row>
    <row r="525" spans="1:10">
      <c r="A525" t="s">
        <v>1612</v>
      </c>
      <c r="B525" s="15">
        <v>46239</v>
      </c>
      <c r="C525" t="s">
        <v>1337</v>
      </c>
      <c r="D525" t="s">
        <v>561</v>
      </c>
      <c r="E525" t="s">
        <v>37</v>
      </c>
      <c r="F525" t="s">
        <v>1084</v>
      </c>
      <c r="G525" t="s">
        <v>1082</v>
      </c>
      <c r="H525" s="16">
        <v>3</v>
      </c>
      <c r="I525" t="s">
        <v>53</v>
      </c>
      <c r="J525" s="16">
        <v>4</v>
      </c>
    </row>
    <row r="526" spans="1:10">
      <c r="A526" t="s">
        <v>1613</v>
      </c>
      <c r="B526" s="15">
        <v>46256</v>
      </c>
      <c r="C526" t="s">
        <v>1337</v>
      </c>
      <c r="D526" t="s">
        <v>786</v>
      </c>
      <c r="E526" t="s">
        <v>231</v>
      </c>
      <c r="F526" t="s">
        <v>1084</v>
      </c>
      <c r="G526" t="s">
        <v>1082</v>
      </c>
      <c r="H526" s="16">
        <v>3</v>
      </c>
      <c r="I526" t="s">
        <v>53</v>
      </c>
      <c r="J526" s="16">
        <v>3</v>
      </c>
    </row>
    <row r="527" spans="1:10">
      <c r="A527" t="s">
        <v>1614</v>
      </c>
      <c r="B527" s="15">
        <v>46260</v>
      </c>
      <c r="C527" t="s">
        <v>1337</v>
      </c>
      <c r="D527" t="s">
        <v>1021</v>
      </c>
      <c r="E527" t="s">
        <v>396</v>
      </c>
      <c r="F527" t="s">
        <v>1090</v>
      </c>
      <c r="G527" t="s">
        <v>1093</v>
      </c>
      <c r="H527" s="16">
        <v>3</v>
      </c>
      <c r="I527" t="s">
        <v>53</v>
      </c>
      <c r="J527" s="16">
        <v>3</v>
      </c>
    </row>
    <row r="528" spans="1:10">
      <c r="A528" t="s">
        <v>1615</v>
      </c>
      <c r="B528" s="15">
        <v>46206</v>
      </c>
      <c r="C528" t="s">
        <v>1337</v>
      </c>
      <c r="D528" t="s">
        <v>867</v>
      </c>
      <c r="E528" t="s">
        <v>231</v>
      </c>
      <c r="F528" t="s">
        <v>1081</v>
      </c>
      <c r="G528" t="s">
        <v>1093</v>
      </c>
      <c r="H528" s="16">
        <v>9</v>
      </c>
      <c r="I528" t="s">
        <v>53</v>
      </c>
      <c r="J528" s="16">
        <v>2</v>
      </c>
    </row>
    <row r="529" spans="1:10">
      <c r="A529" t="s">
        <v>1616</v>
      </c>
      <c r="B529" s="15">
        <v>46224</v>
      </c>
      <c r="C529" t="s">
        <v>1337</v>
      </c>
      <c r="D529" t="s">
        <v>930</v>
      </c>
      <c r="E529" t="s">
        <v>396</v>
      </c>
      <c r="F529" t="s">
        <v>1084</v>
      </c>
      <c r="G529" t="s">
        <v>1082</v>
      </c>
      <c r="H529" s="16">
        <v>7</v>
      </c>
      <c r="I529" t="s">
        <v>53</v>
      </c>
      <c r="J529" s="16">
        <v>3</v>
      </c>
    </row>
    <row r="530" spans="1:10">
      <c r="A530" t="s">
        <v>1617</v>
      </c>
      <c r="B530" s="15">
        <v>46289</v>
      </c>
      <c r="C530" t="s">
        <v>1337</v>
      </c>
      <c r="D530" t="s">
        <v>774</v>
      </c>
      <c r="E530" t="s">
        <v>231</v>
      </c>
      <c r="F530" t="s">
        <v>1081</v>
      </c>
      <c r="G530" t="s">
        <v>1093</v>
      </c>
      <c r="H530" s="16">
        <v>5</v>
      </c>
      <c r="I530" t="s">
        <v>53</v>
      </c>
      <c r="J530" s="16">
        <v>3</v>
      </c>
    </row>
    <row r="531" spans="1:10">
      <c r="A531" t="s">
        <v>1618</v>
      </c>
      <c r="B531" s="15">
        <v>46215</v>
      </c>
      <c r="C531" t="s">
        <v>1337</v>
      </c>
      <c r="D531" t="s">
        <v>731</v>
      </c>
      <c r="E531" t="s">
        <v>37</v>
      </c>
      <c r="F531" t="s">
        <v>1084</v>
      </c>
      <c r="G531" t="s">
        <v>1082</v>
      </c>
      <c r="H531" s="16">
        <v>7</v>
      </c>
      <c r="I531" t="s">
        <v>53</v>
      </c>
      <c r="J531" s="16">
        <v>3</v>
      </c>
    </row>
    <row r="532" spans="1:10">
      <c r="A532" t="s">
        <v>1619</v>
      </c>
      <c r="B532" s="15">
        <v>46224</v>
      </c>
      <c r="C532" t="s">
        <v>1337</v>
      </c>
      <c r="D532" t="s">
        <v>885</v>
      </c>
      <c r="E532" t="s">
        <v>231</v>
      </c>
      <c r="F532" t="s">
        <v>1086</v>
      </c>
      <c r="G532" t="s">
        <v>1093</v>
      </c>
      <c r="H532" s="16">
        <v>6</v>
      </c>
      <c r="I532" t="s">
        <v>41</v>
      </c>
      <c r="J532" s="16">
        <v>1</v>
      </c>
    </row>
    <row r="533" spans="1:10">
      <c r="A533" t="s">
        <v>1620</v>
      </c>
      <c r="B533" s="15">
        <v>46206</v>
      </c>
      <c r="C533" t="s">
        <v>1337</v>
      </c>
      <c r="D533" t="s">
        <v>642</v>
      </c>
      <c r="E533" t="s">
        <v>37</v>
      </c>
      <c r="F533" t="s">
        <v>1084</v>
      </c>
      <c r="G533" t="s">
        <v>1093</v>
      </c>
      <c r="H533" s="16">
        <v>2</v>
      </c>
      <c r="I533" t="s">
        <v>53</v>
      </c>
      <c r="J533" s="16">
        <v>2</v>
      </c>
    </row>
    <row r="534" spans="1:10">
      <c r="A534" t="s">
        <v>1621</v>
      </c>
      <c r="B534" s="15">
        <v>46229</v>
      </c>
      <c r="C534" t="s">
        <v>1337</v>
      </c>
      <c r="D534" t="s">
        <v>657</v>
      </c>
      <c r="E534" t="s">
        <v>37</v>
      </c>
      <c r="F534" t="s">
        <v>1084</v>
      </c>
      <c r="G534" t="s">
        <v>1097</v>
      </c>
      <c r="H534" s="16">
        <v>6</v>
      </c>
      <c r="I534" t="s">
        <v>41</v>
      </c>
      <c r="J534" s="16">
        <v>2</v>
      </c>
    </row>
    <row r="535" spans="1:10">
      <c r="A535" t="s">
        <v>1622</v>
      </c>
      <c r="B535" s="15">
        <v>46249</v>
      </c>
      <c r="C535" t="s">
        <v>1337</v>
      </c>
      <c r="D535" t="s">
        <v>959</v>
      </c>
      <c r="E535" t="s">
        <v>396</v>
      </c>
      <c r="F535" t="s">
        <v>1086</v>
      </c>
      <c r="G535" t="s">
        <v>1082</v>
      </c>
      <c r="H535" s="16">
        <v>5</v>
      </c>
      <c r="I535" t="s">
        <v>41</v>
      </c>
      <c r="J535" s="16">
        <v>2</v>
      </c>
    </row>
    <row r="536" spans="1:10">
      <c r="A536" t="s">
        <v>1623</v>
      </c>
      <c r="B536" s="15">
        <v>46263</v>
      </c>
      <c r="C536" t="s">
        <v>1337</v>
      </c>
      <c r="D536" t="s">
        <v>918</v>
      </c>
      <c r="E536" t="s">
        <v>396</v>
      </c>
      <c r="F536" t="s">
        <v>1090</v>
      </c>
      <c r="G536" t="s">
        <v>1082</v>
      </c>
      <c r="H536" s="16">
        <v>9</v>
      </c>
      <c r="I536" t="s">
        <v>53</v>
      </c>
      <c r="J536" s="16">
        <v>1</v>
      </c>
    </row>
    <row r="537" spans="1:10">
      <c r="A537" t="s">
        <v>1624</v>
      </c>
      <c r="B537" s="15">
        <v>46290</v>
      </c>
      <c r="C537" t="s">
        <v>1337</v>
      </c>
      <c r="D537" t="s">
        <v>567</v>
      </c>
      <c r="E537" t="s">
        <v>37</v>
      </c>
      <c r="F537" t="s">
        <v>1086</v>
      </c>
      <c r="G537" t="s">
        <v>1082</v>
      </c>
      <c r="H537" s="16">
        <v>5</v>
      </c>
      <c r="I537" t="s">
        <v>41</v>
      </c>
      <c r="J537" s="16">
        <v>2</v>
      </c>
    </row>
    <row r="538" spans="1:10">
      <c r="A538" t="s">
        <v>1625</v>
      </c>
      <c r="B538" s="15">
        <v>46234</v>
      </c>
      <c r="C538" t="s">
        <v>1337</v>
      </c>
      <c r="D538" t="s">
        <v>1047</v>
      </c>
      <c r="E538" t="s">
        <v>396</v>
      </c>
      <c r="F538" t="s">
        <v>1084</v>
      </c>
      <c r="G538" t="s">
        <v>1091</v>
      </c>
      <c r="H538" s="16">
        <v>8</v>
      </c>
      <c r="I538" t="s">
        <v>53</v>
      </c>
      <c r="J538" s="16">
        <v>3</v>
      </c>
    </row>
    <row r="539" spans="1:10">
      <c r="A539" t="s">
        <v>1626</v>
      </c>
      <c r="B539" s="15">
        <v>46267</v>
      </c>
      <c r="C539" t="s">
        <v>1337</v>
      </c>
      <c r="D539" t="s">
        <v>880</v>
      </c>
      <c r="E539" t="s">
        <v>231</v>
      </c>
      <c r="F539" t="s">
        <v>1086</v>
      </c>
      <c r="G539" t="s">
        <v>1097</v>
      </c>
      <c r="H539" s="16">
        <v>9</v>
      </c>
      <c r="I539" t="s">
        <v>53</v>
      </c>
      <c r="J539" s="16">
        <v>3</v>
      </c>
    </row>
    <row r="540" spans="1:10">
      <c r="A540" t="s">
        <v>1627</v>
      </c>
      <c r="B540" s="15">
        <v>46289</v>
      </c>
      <c r="C540" t="s">
        <v>1337</v>
      </c>
      <c r="D540" t="s">
        <v>680</v>
      </c>
      <c r="E540" t="s">
        <v>37</v>
      </c>
      <c r="F540" t="s">
        <v>1086</v>
      </c>
      <c r="G540" t="s">
        <v>1082</v>
      </c>
      <c r="H540" s="16">
        <v>6</v>
      </c>
      <c r="I540" t="s">
        <v>53</v>
      </c>
      <c r="J540" s="16">
        <v>1</v>
      </c>
    </row>
    <row r="541" spans="1:10">
      <c r="A541" t="s">
        <v>1628</v>
      </c>
      <c r="B541" s="15">
        <v>46225</v>
      </c>
      <c r="C541" t="s">
        <v>1337</v>
      </c>
      <c r="D541" t="s">
        <v>689</v>
      </c>
      <c r="E541" t="s">
        <v>37</v>
      </c>
      <c r="F541" t="s">
        <v>1084</v>
      </c>
      <c r="G541" t="s">
        <v>1082</v>
      </c>
      <c r="H541" s="16">
        <v>8</v>
      </c>
      <c r="I541" t="s">
        <v>53</v>
      </c>
      <c r="J541" s="16">
        <v>1</v>
      </c>
    </row>
    <row r="542" spans="1:10">
      <c r="A542" t="s">
        <v>1629</v>
      </c>
      <c r="B542" s="15">
        <v>46259</v>
      </c>
      <c r="C542" t="s">
        <v>1337</v>
      </c>
      <c r="D542" t="s">
        <v>611</v>
      </c>
      <c r="E542" t="s">
        <v>37</v>
      </c>
      <c r="F542" t="s">
        <v>1084</v>
      </c>
      <c r="G542" t="s">
        <v>1082</v>
      </c>
      <c r="H542" s="16">
        <v>8</v>
      </c>
      <c r="I542" t="s">
        <v>53</v>
      </c>
      <c r="J542" s="16">
        <v>1</v>
      </c>
    </row>
    <row r="543" spans="1:10">
      <c r="A543" t="s">
        <v>1630</v>
      </c>
      <c r="B543" s="15">
        <v>46230</v>
      </c>
      <c r="C543" t="s">
        <v>1337</v>
      </c>
      <c r="D543" t="s">
        <v>980</v>
      </c>
      <c r="E543" t="s">
        <v>396</v>
      </c>
      <c r="F543" t="s">
        <v>1081</v>
      </c>
      <c r="G543" t="s">
        <v>1082</v>
      </c>
      <c r="H543" s="16">
        <v>8</v>
      </c>
      <c r="I543" t="s">
        <v>53</v>
      </c>
      <c r="J543" s="16">
        <v>3</v>
      </c>
    </row>
    <row r="544" spans="1:10">
      <c r="A544" t="s">
        <v>1631</v>
      </c>
      <c r="B544" s="15">
        <v>46267</v>
      </c>
      <c r="C544" t="s">
        <v>1337</v>
      </c>
      <c r="D544" t="s">
        <v>911</v>
      </c>
      <c r="E544" t="s">
        <v>231</v>
      </c>
      <c r="F544" t="s">
        <v>1086</v>
      </c>
      <c r="G544" t="s">
        <v>1093</v>
      </c>
      <c r="H544" s="16">
        <v>4</v>
      </c>
      <c r="I544" t="s">
        <v>41</v>
      </c>
      <c r="J544" s="16">
        <v>3</v>
      </c>
    </row>
    <row r="545" spans="1:10">
      <c r="A545" t="s">
        <v>1632</v>
      </c>
      <c r="B545" s="15">
        <v>46205</v>
      </c>
      <c r="C545" t="s">
        <v>1337</v>
      </c>
      <c r="D545" t="s">
        <v>957</v>
      </c>
      <c r="E545" t="s">
        <v>396</v>
      </c>
      <c r="F545" t="s">
        <v>1084</v>
      </c>
      <c r="G545" t="s">
        <v>1082</v>
      </c>
      <c r="H545" s="16">
        <v>8</v>
      </c>
      <c r="I545" t="s">
        <v>41</v>
      </c>
      <c r="J545" s="16">
        <v>1</v>
      </c>
    </row>
    <row r="546" spans="1:10">
      <c r="A546" t="s">
        <v>1633</v>
      </c>
      <c r="B546" s="15">
        <v>46217</v>
      </c>
      <c r="C546" t="s">
        <v>1337</v>
      </c>
      <c r="D546" t="s">
        <v>901</v>
      </c>
      <c r="E546" t="s">
        <v>231</v>
      </c>
      <c r="F546" t="s">
        <v>1084</v>
      </c>
      <c r="G546" t="s">
        <v>1093</v>
      </c>
      <c r="H546" s="16">
        <v>10</v>
      </c>
      <c r="I546" t="s">
        <v>53</v>
      </c>
      <c r="J546" s="16">
        <v>2</v>
      </c>
    </row>
    <row r="547" spans="1:10">
      <c r="A547" t="s">
        <v>1634</v>
      </c>
      <c r="B547" s="15">
        <v>46225</v>
      </c>
      <c r="C547" t="s">
        <v>1337</v>
      </c>
      <c r="D547" t="s">
        <v>687</v>
      </c>
      <c r="E547" t="s">
        <v>37</v>
      </c>
      <c r="F547" t="s">
        <v>1084</v>
      </c>
      <c r="G547" t="s">
        <v>1082</v>
      </c>
      <c r="H547" s="16">
        <v>3</v>
      </c>
      <c r="I547" t="s">
        <v>53</v>
      </c>
      <c r="J547" s="16">
        <v>3</v>
      </c>
    </row>
    <row r="548" spans="1:10">
      <c r="A548" t="s">
        <v>1635</v>
      </c>
      <c r="B548" s="15">
        <v>46260</v>
      </c>
      <c r="C548" t="s">
        <v>1337</v>
      </c>
      <c r="D548" t="s">
        <v>600</v>
      </c>
      <c r="E548" t="s">
        <v>37</v>
      </c>
      <c r="F548" t="s">
        <v>1084</v>
      </c>
      <c r="G548" t="s">
        <v>1082</v>
      </c>
      <c r="H548" s="16">
        <v>6</v>
      </c>
      <c r="I548" t="s">
        <v>53</v>
      </c>
      <c r="J548" s="16">
        <v>3</v>
      </c>
    </row>
    <row r="549" spans="1:10">
      <c r="A549" t="s">
        <v>1636</v>
      </c>
      <c r="B549" s="15">
        <v>46273</v>
      </c>
      <c r="C549" t="s">
        <v>1337</v>
      </c>
      <c r="D549" t="s">
        <v>603</v>
      </c>
      <c r="E549" t="s">
        <v>37</v>
      </c>
      <c r="F549" t="s">
        <v>1090</v>
      </c>
      <c r="G549" t="s">
        <v>1093</v>
      </c>
      <c r="H549" s="16">
        <v>4</v>
      </c>
      <c r="I549" t="s">
        <v>41</v>
      </c>
      <c r="J549" s="16">
        <v>2</v>
      </c>
    </row>
    <row r="550" spans="1:10">
      <c r="A550" t="s">
        <v>1637</v>
      </c>
      <c r="B550" s="15">
        <v>46256</v>
      </c>
      <c r="C550" t="s">
        <v>1337</v>
      </c>
      <c r="D550" t="s">
        <v>923</v>
      </c>
      <c r="E550" t="s">
        <v>396</v>
      </c>
      <c r="F550" t="s">
        <v>1086</v>
      </c>
      <c r="G550" t="s">
        <v>1093</v>
      </c>
      <c r="H550" s="16">
        <v>7</v>
      </c>
      <c r="I550" t="s">
        <v>53</v>
      </c>
      <c r="J550" s="16">
        <v>2</v>
      </c>
    </row>
    <row r="551" spans="1:10">
      <c r="A551" t="s">
        <v>1638</v>
      </c>
      <c r="B551" s="15">
        <v>46206</v>
      </c>
      <c r="C551" t="s">
        <v>1337</v>
      </c>
      <c r="D551" t="s">
        <v>1042</v>
      </c>
      <c r="E551" t="s">
        <v>396</v>
      </c>
      <c r="F551" t="s">
        <v>1086</v>
      </c>
      <c r="G551" t="s">
        <v>1082</v>
      </c>
      <c r="H551" s="16">
        <v>5</v>
      </c>
      <c r="I551" t="s">
        <v>53</v>
      </c>
      <c r="J551" s="16">
        <v>3</v>
      </c>
    </row>
    <row r="552" spans="1:10">
      <c r="A552" t="s">
        <v>1639</v>
      </c>
      <c r="B552" s="15">
        <v>46219</v>
      </c>
      <c r="C552" t="s">
        <v>1337</v>
      </c>
      <c r="D552" t="s">
        <v>857</v>
      </c>
      <c r="E552" t="s">
        <v>231</v>
      </c>
      <c r="F552" t="s">
        <v>1086</v>
      </c>
      <c r="G552" t="s">
        <v>1093</v>
      </c>
      <c r="H552" s="16">
        <v>3</v>
      </c>
      <c r="I552" t="s">
        <v>53</v>
      </c>
      <c r="J552" s="16">
        <v>4</v>
      </c>
    </row>
    <row r="553" spans="1:10">
      <c r="A553" t="s">
        <v>1640</v>
      </c>
      <c r="B553" s="15">
        <v>46234</v>
      </c>
      <c r="C553" t="s">
        <v>1337</v>
      </c>
      <c r="D553" t="s">
        <v>1019</v>
      </c>
      <c r="E553" t="s">
        <v>396</v>
      </c>
      <c r="F553" t="s">
        <v>1081</v>
      </c>
      <c r="G553" t="s">
        <v>1082</v>
      </c>
      <c r="H553" s="16">
        <v>4</v>
      </c>
      <c r="I553" t="s">
        <v>53</v>
      </c>
      <c r="J553" s="16">
        <v>3</v>
      </c>
    </row>
    <row r="554" spans="1:10">
      <c r="A554" t="s">
        <v>1641</v>
      </c>
      <c r="B554" s="15">
        <v>46252</v>
      </c>
      <c r="C554" t="s">
        <v>1337</v>
      </c>
      <c r="D554" t="s">
        <v>879</v>
      </c>
      <c r="E554" t="s">
        <v>231</v>
      </c>
      <c r="F554" t="s">
        <v>1086</v>
      </c>
      <c r="G554" t="s">
        <v>1082</v>
      </c>
      <c r="H554" s="16">
        <v>8</v>
      </c>
      <c r="I554" t="s">
        <v>53</v>
      </c>
      <c r="J554" s="16">
        <v>1</v>
      </c>
    </row>
    <row r="555" spans="1:10">
      <c r="A555" t="s">
        <v>1642</v>
      </c>
      <c r="B555" s="15">
        <v>46227</v>
      </c>
      <c r="C555" t="s">
        <v>1337</v>
      </c>
      <c r="D555" t="s">
        <v>798</v>
      </c>
      <c r="E555" t="s">
        <v>231</v>
      </c>
      <c r="F555" t="s">
        <v>1084</v>
      </c>
      <c r="G555" t="s">
        <v>1091</v>
      </c>
      <c r="H555" s="16">
        <v>2</v>
      </c>
      <c r="I555" t="s">
        <v>53</v>
      </c>
      <c r="J555" s="16">
        <v>2</v>
      </c>
    </row>
    <row r="556" spans="1:10">
      <c r="A556" t="s">
        <v>1643</v>
      </c>
      <c r="B556" s="15">
        <v>46288</v>
      </c>
      <c r="C556" t="s">
        <v>1337</v>
      </c>
      <c r="D556" t="s">
        <v>634</v>
      </c>
      <c r="E556" t="s">
        <v>37</v>
      </c>
      <c r="F556" t="s">
        <v>1081</v>
      </c>
      <c r="G556" t="s">
        <v>1093</v>
      </c>
      <c r="H556" s="16">
        <v>6</v>
      </c>
      <c r="I556" t="s">
        <v>41</v>
      </c>
      <c r="J556" s="16">
        <v>4</v>
      </c>
    </row>
    <row r="557" spans="1:10">
      <c r="A557" t="s">
        <v>1644</v>
      </c>
      <c r="B557" s="15">
        <v>46217</v>
      </c>
      <c r="C557" t="s">
        <v>1337</v>
      </c>
      <c r="D557" t="s">
        <v>716</v>
      </c>
      <c r="E557" t="s">
        <v>37</v>
      </c>
      <c r="F557" t="s">
        <v>1081</v>
      </c>
      <c r="G557" t="s">
        <v>1091</v>
      </c>
      <c r="H557" s="16">
        <v>8</v>
      </c>
      <c r="I557" t="s">
        <v>53</v>
      </c>
      <c r="J557" s="16">
        <v>3</v>
      </c>
    </row>
    <row r="558" spans="1:10">
      <c r="A558" t="s">
        <v>1645</v>
      </c>
      <c r="B558" s="15">
        <v>46213</v>
      </c>
      <c r="C558" t="s">
        <v>1337</v>
      </c>
      <c r="D558" t="s">
        <v>1062</v>
      </c>
      <c r="E558" t="s">
        <v>396</v>
      </c>
      <c r="F558" t="s">
        <v>1081</v>
      </c>
      <c r="G558" t="s">
        <v>1082</v>
      </c>
      <c r="H558" s="16">
        <v>3</v>
      </c>
      <c r="I558" t="s">
        <v>53</v>
      </c>
      <c r="J558" s="16">
        <v>2</v>
      </c>
    </row>
    <row r="559" spans="1:10">
      <c r="A559" t="s">
        <v>1646</v>
      </c>
      <c r="B559" s="15">
        <v>46280</v>
      </c>
      <c r="C559" t="s">
        <v>1337</v>
      </c>
      <c r="D559" t="s">
        <v>751</v>
      </c>
      <c r="E559" t="s">
        <v>231</v>
      </c>
      <c r="F559" t="s">
        <v>1084</v>
      </c>
      <c r="G559" t="s">
        <v>1091</v>
      </c>
      <c r="H559" s="16">
        <v>5</v>
      </c>
      <c r="I559" t="s">
        <v>53</v>
      </c>
      <c r="J559" s="16">
        <v>3</v>
      </c>
    </row>
    <row r="560" spans="1:10">
      <c r="A560" t="s">
        <v>1647</v>
      </c>
      <c r="B560" s="15">
        <v>46281</v>
      </c>
      <c r="C560" t="s">
        <v>1337</v>
      </c>
      <c r="D560" t="s">
        <v>1054</v>
      </c>
      <c r="E560" t="s">
        <v>396</v>
      </c>
      <c r="F560" t="s">
        <v>1086</v>
      </c>
      <c r="G560" t="s">
        <v>1082</v>
      </c>
      <c r="H560" s="16">
        <v>3</v>
      </c>
      <c r="I560" t="s">
        <v>53</v>
      </c>
      <c r="J560" s="16">
        <v>3</v>
      </c>
    </row>
    <row r="561" spans="1:10">
      <c r="A561" t="s">
        <v>1648</v>
      </c>
      <c r="B561" s="15">
        <v>46224</v>
      </c>
      <c r="C561" t="s">
        <v>1337</v>
      </c>
      <c r="D561" t="s">
        <v>773</v>
      </c>
      <c r="E561" t="s">
        <v>231</v>
      </c>
      <c r="F561" t="s">
        <v>1081</v>
      </c>
      <c r="G561" t="s">
        <v>1082</v>
      </c>
      <c r="H561" s="16">
        <v>6</v>
      </c>
      <c r="I561" t="s">
        <v>53</v>
      </c>
      <c r="J561" s="16">
        <v>1</v>
      </c>
    </row>
    <row r="562" spans="1:10">
      <c r="A562" t="s">
        <v>1649</v>
      </c>
      <c r="B562" s="15">
        <v>46292</v>
      </c>
      <c r="C562" t="s">
        <v>1337</v>
      </c>
      <c r="D562" t="s">
        <v>974</v>
      </c>
      <c r="E562" t="s">
        <v>396</v>
      </c>
      <c r="F562" t="s">
        <v>1086</v>
      </c>
      <c r="G562" t="s">
        <v>1093</v>
      </c>
      <c r="H562" s="16">
        <v>9</v>
      </c>
      <c r="I562" t="s">
        <v>53</v>
      </c>
      <c r="J562" s="16">
        <v>3</v>
      </c>
    </row>
    <row r="563" spans="1:10">
      <c r="A563" t="s">
        <v>1650</v>
      </c>
      <c r="B563" s="15">
        <v>46280</v>
      </c>
      <c r="C563" t="s">
        <v>1337</v>
      </c>
      <c r="D563" t="s">
        <v>980</v>
      </c>
      <c r="E563" t="s">
        <v>396</v>
      </c>
      <c r="F563" t="s">
        <v>1084</v>
      </c>
      <c r="G563" t="s">
        <v>1093</v>
      </c>
      <c r="H563" s="16">
        <v>7</v>
      </c>
      <c r="I563" t="s">
        <v>53</v>
      </c>
      <c r="J563" s="16">
        <v>4</v>
      </c>
    </row>
    <row r="564" spans="1:10">
      <c r="A564" t="s">
        <v>1651</v>
      </c>
      <c r="B564" s="15">
        <v>46282</v>
      </c>
      <c r="C564" t="s">
        <v>1337</v>
      </c>
      <c r="D564" t="s">
        <v>872</v>
      </c>
      <c r="E564" t="s">
        <v>231</v>
      </c>
      <c r="F564" t="s">
        <v>1086</v>
      </c>
      <c r="G564" t="s">
        <v>1082</v>
      </c>
      <c r="H564" s="16">
        <v>6</v>
      </c>
      <c r="I564" t="s">
        <v>41</v>
      </c>
      <c r="J564" s="16">
        <v>2</v>
      </c>
    </row>
    <row r="565" spans="1:10">
      <c r="A565" t="s">
        <v>1652</v>
      </c>
      <c r="B565" s="15">
        <v>46240</v>
      </c>
      <c r="C565" t="s">
        <v>1337</v>
      </c>
      <c r="D565" t="s">
        <v>629</v>
      </c>
      <c r="E565" t="s">
        <v>37</v>
      </c>
      <c r="F565" t="s">
        <v>1086</v>
      </c>
      <c r="G565" t="s">
        <v>1082</v>
      </c>
      <c r="H565" s="16">
        <v>8</v>
      </c>
      <c r="I565" t="s">
        <v>53</v>
      </c>
      <c r="J565" s="16">
        <v>1</v>
      </c>
    </row>
    <row r="566" spans="1:10">
      <c r="A566" t="s">
        <v>1653</v>
      </c>
      <c r="B566" s="15">
        <v>46292</v>
      </c>
      <c r="C566" t="s">
        <v>1337</v>
      </c>
      <c r="D566" t="s">
        <v>708</v>
      </c>
      <c r="E566" t="s">
        <v>37</v>
      </c>
      <c r="F566" t="s">
        <v>1086</v>
      </c>
      <c r="G566" t="s">
        <v>1082</v>
      </c>
      <c r="H566" s="16">
        <v>4</v>
      </c>
      <c r="I566" t="s">
        <v>41</v>
      </c>
      <c r="J566" s="16">
        <v>1</v>
      </c>
    </row>
    <row r="567" spans="1:10">
      <c r="A567" t="s">
        <v>1654</v>
      </c>
      <c r="B567" s="15">
        <v>46234</v>
      </c>
      <c r="C567" t="s">
        <v>1337</v>
      </c>
      <c r="D567" t="s">
        <v>680</v>
      </c>
      <c r="E567" t="s">
        <v>37</v>
      </c>
      <c r="F567" t="s">
        <v>1086</v>
      </c>
      <c r="G567" t="s">
        <v>1082</v>
      </c>
      <c r="H567" s="16">
        <v>6</v>
      </c>
      <c r="I567" t="s">
        <v>53</v>
      </c>
      <c r="J567" s="16">
        <v>2</v>
      </c>
    </row>
    <row r="568" spans="1:10">
      <c r="A568" t="s">
        <v>1655</v>
      </c>
      <c r="B568" s="15">
        <v>46227</v>
      </c>
      <c r="C568" t="s">
        <v>1337</v>
      </c>
      <c r="D568" t="s">
        <v>747</v>
      </c>
      <c r="E568" t="s">
        <v>231</v>
      </c>
      <c r="F568" t="s">
        <v>1084</v>
      </c>
      <c r="G568" t="s">
        <v>1082</v>
      </c>
      <c r="H568" s="16">
        <v>5</v>
      </c>
      <c r="I568" t="s">
        <v>53</v>
      </c>
      <c r="J568" s="16">
        <v>4</v>
      </c>
    </row>
    <row r="569" spans="1:10">
      <c r="A569" t="s">
        <v>1656</v>
      </c>
      <c r="B569" s="15">
        <v>46213</v>
      </c>
      <c r="C569" t="s">
        <v>1337</v>
      </c>
      <c r="D569" t="s">
        <v>932</v>
      </c>
      <c r="E569" t="s">
        <v>396</v>
      </c>
      <c r="F569" t="s">
        <v>1090</v>
      </c>
      <c r="G569" t="s">
        <v>1097</v>
      </c>
      <c r="H569" s="16">
        <v>8</v>
      </c>
      <c r="I569" t="s">
        <v>53</v>
      </c>
      <c r="J569" s="16">
        <v>3</v>
      </c>
    </row>
    <row r="570" spans="1:10">
      <c r="A570" t="s">
        <v>1657</v>
      </c>
      <c r="B570" s="15">
        <v>46253</v>
      </c>
      <c r="C570" t="s">
        <v>1337</v>
      </c>
      <c r="D570" t="s">
        <v>1054</v>
      </c>
      <c r="E570" t="s">
        <v>396</v>
      </c>
      <c r="F570" t="s">
        <v>1084</v>
      </c>
      <c r="G570" t="s">
        <v>1093</v>
      </c>
      <c r="H570" s="16">
        <v>5</v>
      </c>
      <c r="I570" t="s">
        <v>53</v>
      </c>
      <c r="J570" s="16">
        <v>3</v>
      </c>
    </row>
    <row r="571" spans="1:10">
      <c r="A571" t="s">
        <v>1658</v>
      </c>
      <c r="B571" s="15">
        <v>46268</v>
      </c>
      <c r="C571" t="s">
        <v>1337</v>
      </c>
      <c r="D571" t="s">
        <v>868</v>
      </c>
      <c r="E571" t="s">
        <v>231</v>
      </c>
      <c r="F571" t="s">
        <v>1086</v>
      </c>
      <c r="G571" t="s">
        <v>1091</v>
      </c>
      <c r="H571" s="16">
        <v>4</v>
      </c>
      <c r="I571" t="s">
        <v>53</v>
      </c>
      <c r="J571" s="16">
        <v>3</v>
      </c>
    </row>
    <row r="572" spans="1:10">
      <c r="A572" t="s">
        <v>1659</v>
      </c>
      <c r="B572" s="15">
        <v>46229</v>
      </c>
      <c r="C572" t="s">
        <v>1337</v>
      </c>
      <c r="D572" t="s">
        <v>667</v>
      </c>
      <c r="E572" t="s">
        <v>37</v>
      </c>
      <c r="F572" t="s">
        <v>1086</v>
      </c>
      <c r="G572" t="s">
        <v>1093</v>
      </c>
      <c r="H572" s="16">
        <v>9</v>
      </c>
      <c r="I572" t="s">
        <v>53</v>
      </c>
      <c r="J572" s="16">
        <v>3</v>
      </c>
    </row>
    <row r="573" spans="1:10">
      <c r="A573" t="s">
        <v>1660</v>
      </c>
      <c r="B573" s="15">
        <v>46272</v>
      </c>
      <c r="C573" t="s">
        <v>1337</v>
      </c>
      <c r="D573" t="s">
        <v>997</v>
      </c>
      <c r="E573" t="s">
        <v>396</v>
      </c>
      <c r="F573" t="s">
        <v>1090</v>
      </c>
      <c r="G573" t="s">
        <v>1097</v>
      </c>
      <c r="H573" s="16">
        <v>10</v>
      </c>
      <c r="I573" t="s">
        <v>53</v>
      </c>
      <c r="J573" s="16">
        <v>4</v>
      </c>
    </row>
    <row r="574" spans="1:10">
      <c r="A574" t="s">
        <v>1661</v>
      </c>
      <c r="B574" s="15">
        <v>46251</v>
      </c>
      <c r="C574" t="s">
        <v>1337</v>
      </c>
      <c r="D574" t="s">
        <v>754</v>
      </c>
      <c r="E574" t="s">
        <v>231</v>
      </c>
      <c r="F574" t="s">
        <v>1086</v>
      </c>
      <c r="G574" t="s">
        <v>1093</v>
      </c>
      <c r="H574" s="16">
        <v>10</v>
      </c>
      <c r="I574" t="s">
        <v>53</v>
      </c>
      <c r="J574" s="16">
        <v>2</v>
      </c>
    </row>
    <row r="575" spans="1:10">
      <c r="A575" t="s">
        <v>1662</v>
      </c>
      <c r="B575" s="15">
        <v>46250</v>
      </c>
      <c r="C575" t="s">
        <v>1337</v>
      </c>
      <c r="D575" t="s">
        <v>1015</v>
      </c>
      <c r="E575" t="s">
        <v>396</v>
      </c>
      <c r="F575" t="s">
        <v>1086</v>
      </c>
      <c r="G575" t="s">
        <v>1093</v>
      </c>
      <c r="H575" s="16">
        <v>7</v>
      </c>
      <c r="I575" t="s">
        <v>41</v>
      </c>
      <c r="J575" s="16">
        <v>4</v>
      </c>
    </row>
    <row r="576" spans="1:10">
      <c r="A576" t="s">
        <v>1663</v>
      </c>
      <c r="B576" s="15">
        <v>46290</v>
      </c>
      <c r="C576" t="s">
        <v>1337</v>
      </c>
      <c r="D576" t="s">
        <v>947</v>
      </c>
      <c r="E576" t="s">
        <v>396</v>
      </c>
      <c r="F576" t="s">
        <v>1090</v>
      </c>
      <c r="G576" t="s">
        <v>1082</v>
      </c>
      <c r="H576" s="16">
        <v>4</v>
      </c>
      <c r="I576" t="s">
        <v>53</v>
      </c>
      <c r="J576" s="16">
        <v>1</v>
      </c>
    </row>
    <row r="577" spans="1:10">
      <c r="A577" t="s">
        <v>1664</v>
      </c>
      <c r="B577" s="15">
        <v>46247</v>
      </c>
      <c r="C577" t="s">
        <v>1337</v>
      </c>
      <c r="D577" t="s">
        <v>1011</v>
      </c>
      <c r="E577" t="s">
        <v>396</v>
      </c>
      <c r="F577" t="s">
        <v>1090</v>
      </c>
      <c r="G577" t="s">
        <v>1082</v>
      </c>
      <c r="H577" s="16">
        <v>4</v>
      </c>
      <c r="I577" t="s">
        <v>41</v>
      </c>
      <c r="J577" s="16">
        <v>2</v>
      </c>
    </row>
    <row r="578" spans="1:10">
      <c r="A578" t="s">
        <v>1665</v>
      </c>
      <c r="B578" s="15">
        <v>46229</v>
      </c>
      <c r="C578" t="s">
        <v>1337</v>
      </c>
      <c r="D578" t="s">
        <v>576</v>
      </c>
      <c r="E578" t="s">
        <v>37</v>
      </c>
      <c r="F578" t="s">
        <v>1081</v>
      </c>
      <c r="G578" t="s">
        <v>1082</v>
      </c>
      <c r="H578" s="16">
        <v>8</v>
      </c>
      <c r="I578" t="s">
        <v>53</v>
      </c>
      <c r="J578" s="16">
        <v>3</v>
      </c>
    </row>
    <row r="579" spans="1:10">
      <c r="A579" t="s">
        <v>1666</v>
      </c>
      <c r="B579" s="15">
        <v>46227</v>
      </c>
      <c r="C579" t="s">
        <v>1337</v>
      </c>
      <c r="D579" t="s">
        <v>904</v>
      </c>
      <c r="E579" t="s">
        <v>231</v>
      </c>
      <c r="F579" t="s">
        <v>1090</v>
      </c>
      <c r="G579" t="s">
        <v>1082</v>
      </c>
      <c r="H579" s="16">
        <v>9</v>
      </c>
      <c r="I579" t="s">
        <v>41</v>
      </c>
      <c r="J579" s="16">
        <v>2</v>
      </c>
    </row>
    <row r="580" spans="1:10">
      <c r="A580" t="s">
        <v>1667</v>
      </c>
      <c r="B580" s="15">
        <v>46254</v>
      </c>
      <c r="C580" t="s">
        <v>1337</v>
      </c>
      <c r="D580" t="s">
        <v>597</v>
      </c>
      <c r="E580" t="s">
        <v>37</v>
      </c>
      <c r="F580" t="s">
        <v>1081</v>
      </c>
      <c r="G580" t="s">
        <v>1082</v>
      </c>
      <c r="H580" s="16">
        <v>10</v>
      </c>
      <c r="I580" t="s">
        <v>53</v>
      </c>
      <c r="J580" s="16">
        <v>2</v>
      </c>
    </row>
    <row r="581" spans="1:10">
      <c r="A581" t="s">
        <v>1668</v>
      </c>
      <c r="B581" s="15">
        <v>46217</v>
      </c>
      <c r="C581" t="s">
        <v>1337</v>
      </c>
      <c r="D581" t="s">
        <v>628</v>
      </c>
      <c r="E581" t="s">
        <v>37</v>
      </c>
      <c r="F581" t="s">
        <v>1081</v>
      </c>
      <c r="G581" t="s">
        <v>1093</v>
      </c>
      <c r="H581" s="16">
        <v>5</v>
      </c>
      <c r="I581" t="s">
        <v>53</v>
      </c>
      <c r="J581" s="16">
        <v>3</v>
      </c>
    </row>
    <row r="582" spans="1:10">
      <c r="A582" t="s">
        <v>1669</v>
      </c>
      <c r="B582" s="15">
        <v>46272</v>
      </c>
      <c r="C582" t="s">
        <v>1337</v>
      </c>
      <c r="D582" t="s">
        <v>735</v>
      </c>
      <c r="E582" t="s">
        <v>37</v>
      </c>
      <c r="F582" t="s">
        <v>1086</v>
      </c>
      <c r="G582" t="s">
        <v>1082</v>
      </c>
      <c r="H582" s="16">
        <v>6</v>
      </c>
      <c r="I582" t="s">
        <v>41</v>
      </c>
      <c r="J582" s="16">
        <v>2</v>
      </c>
    </row>
    <row r="583" spans="1:10">
      <c r="A583" t="s">
        <v>1670</v>
      </c>
      <c r="B583" s="15">
        <v>46226</v>
      </c>
      <c r="C583" t="s">
        <v>1337</v>
      </c>
      <c r="D583" t="s">
        <v>828</v>
      </c>
      <c r="E583" t="s">
        <v>231</v>
      </c>
      <c r="F583" t="s">
        <v>1081</v>
      </c>
      <c r="G583" t="s">
        <v>1082</v>
      </c>
      <c r="H583" s="16">
        <v>10</v>
      </c>
      <c r="I583" t="s">
        <v>41</v>
      </c>
      <c r="J583" s="16">
        <v>3</v>
      </c>
    </row>
    <row r="584" spans="1:10">
      <c r="A584" t="s">
        <v>1671</v>
      </c>
      <c r="B584" s="15">
        <v>46292</v>
      </c>
      <c r="C584" t="s">
        <v>1337</v>
      </c>
      <c r="D584" t="s">
        <v>972</v>
      </c>
      <c r="E584" t="s">
        <v>396</v>
      </c>
      <c r="F584" t="s">
        <v>1090</v>
      </c>
      <c r="G584" t="s">
        <v>1082</v>
      </c>
      <c r="H584" s="16">
        <v>8</v>
      </c>
      <c r="I584" t="s">
        <v>41</v>
      </c>
      <c r="J584" s="16">
        <v>2</v>
      </c>
    </row>
    <row r="585" spans="1:10">
      <c r="A585" t="s">
        <v>1672</v>
      </c>
      <c r="B585" s="15">
        <v>46251</v>
      </c>
      <c r="C585" t="s">
        <v>1337</v>
      </c>
      <c r="D585" t="s">
        <v>767</v>
      </c>
      <c r="E585" t="s">
        <v>231</v>
      </c>
      <c r="F585" t="s">
        <v>1086</v>
      </c>
      <c r="G585" t="s">
        <v>1082</v>
      </c>
      <c r="H585" s="16">
        <v>6</v>
      </c>
      <c r="I585" t="s">
        <v>53</v>
      </c>
      <c r="J585" s="16">
        <v>4</v>
      </c>
    </row>
    <row r="586" spans="1:10">
      <c r="A586" t="s">
        <v>1673</v>
      </c>
      <c r="B586" s="15">
        <v>46251</v>
      </c>
      <c r="C586" t="s">
        <v>1337</v>
      </c>
      <c r="D586" t="s">
        <v>1009</v>
      </c>
      <c r="E586" t="s">
        <v>396</v>
      </c>
      <c r="F586" t="s">
        <v>1090</v>
      </c>
      <c r="G586" t="s">
        <v>1082</v>
      </c>
      <c r="H586" s="16">
        <v>9</v>
      </c>
      <c r="I586" t="s">
        <v>53</v>
      </c>
      <c r="J586" s="16">
        <v>3</v>
      </c>
    </row>
    <row r="587" spans="1:10">
      <c r="A587" t="s">
        <v>1674</v>
      </c>
      <c r="B587" s="15">
        <v>46237</v>
      </c>
      <c r="C587" t="s">
        <v>1337</v>
      </c>
      <c r="D587" t="s">
        <v>1014</v>
      </c>
      <c r="E587" t="s">
        <v>396</v>
      </c>
      <c r="F587" t="s">
        <v>1084</v>
      </c>
      <c r="G587" t="s">
        <v>1091</v>
      </c>
      <c r="H587" s="16">
        <v>6</v>
      </c>
      <c r="I587" t="s">
        <v>53</v>
      </c>
      <c r="J587" s="16">
        <v>3</v>
      </c>
    </row>
    <row r="588" spans="1:10">
      <c r="A588" t="s">
        <v>1675</v>
      </c>
      <c r="B588" s="15">
        <v>46291</v>
      </c>
      <c r="C588" t="s">
        <v>1337</v>
      </c>
      <c r="D588" t="s">
        <v>989</v>
      </c>
      <c r="E588" t="s">
        <v>396</v>
      </c>
      <c r="F588" t="s">
        <v>1084</v>
      </c>
      <c r="G588" t="s">
        <v>1097</v>
      </c>
      <c r="H588" s="16">
        <v>6</v>
      </c>
      <c r="I588" t="s">
        <v>53</v>
      </c>
      <c r="J588" s="16">
        <v>3</v>
      </c>
    </row>
    <row r="589" spans="1:10">
      <c r="A589" t="s">
        <v>1676</v>
      </c>
      <c r="B589" s="15">
        <v>46243</v>
      </c>
      <c r="C589" t="s">
        <v>1337</v>
      </c>
      <c r="D589" t="s">
        <v>946</v>
      </c>
      <c r="E589" t="s">
        <v>396</v>
      </c>
      <c r="F589" t="s">
        <v>1090</v>
      </c>
      <c r="G589" t="s">
        <v>1093</v>
      </c>
      <c r="H589" s="16">
        <v>6</v>
      </c>
      <c r="I589" t="s">
        <v>53</v>
      </c>
      <c r="J589" s="16">
        <v>2</v>
      </c>
    </row>
    <row r="590" spans="1:10">
      <c r="A590" t="s">
        <v>1677</v>
      </c>
      <c r="B590" s="15">
        <v>46265</v>
      </c>
      <c r="C590" t="s">
        <v>1337</v>
      </c>
      <c r="D590" t="s">
        <v>894</v>
      </c>
      <c r="E590" t="s">
        <v>231</v>
      </c>
      <c r="F590" t="s">
        <v>1090</v>
      </c>
      <c r="G590" t="s">
        <v>1093</v>
      </c>
      <c r="H590" s="16">
        <v>10</v>
      </c>
      <c r="I590" t="s">
        <v>53</v>
      </c>
      <c r="J590" s="16">
        <v>1</v>
      </c>
    </row>
    <row r="591" spans="1:10">
      <c r="A591" t="s">
        <v>1678</v>
      </c>
      <c r="B591" s="15">
        <v>46294</v>
      </c>
      <c r="C591" t="s">
        <v>1337</v>
      </c>
      <c r="D591" t="s">
        <v>1001</v>
      </c>
      <c r="E591" t="s">
        <v>396</v>
      </c>
      <c r="F591" t="s">
        <v>1081</v>
      </c>
      <c r="G591" t="s">
        <v>1082</v>
      </c>
      <c r="H591" s="16">
        <v>4</v>
      </c>
      <c r="I591" t="s">
        <v>53</v>
      </c>
      <c r="J591" s="16">
        <v>3</v>
      </c>
    </row>
    <row r="592" spans="1:10">
      <c r="A592" t="s">
        <v>1679</v>
      </c>
      <c r="B592" s="15">
        <v>46254</v>
      </c>
      <c r="C592" t="s">
        <v>1337</v>
      </c>
      <c r="D592" t="s">
        <v>619</v>
      </c>
      <c r="E592" t="s">
        <v>37</v>
      </c>
      <c r="F592" t="s">
        <v>1081</v>
      </c>
      <c r="G592" t="s">
        <v>1082</v>
      </c>
      <c r="H592" s="16">
        <v>6</v>
      </c>
      <c r="I592" t="s">
        <v>41</v>
      </c>
      <c r="J592" s="16">
        <v>2</v>
      </c>
    </row>
    <row r="593" spans="1:10">
      <c r="A593" t="s">
        <v>1680</v>
      </c>
      <c r="B593" s="15">
        <v>46245</v>
      </c>
      <c r="C593" t="s">
        <v>1337</v>
      </c>
      <c r="D593" t="s">
        <v>999</v>
      </c>
      <c r="E593" t="s">
        <v>396</v>
      </c>
      <c r="F593" t="s">
        <v>1084</v>
      </c>
      <c r="G593" t="s">
        <v>1091</v>
      </c>
      <c r="H593" s="16">
        <v>7</v>
      </c>
      <c r="I593" t="s">
        <v>53</v>
      </c>
      <c r="J593" s="16">
        <v>1</v>
      </c>
    </row>
    <row r="594" spans="1:10">
      <c r="A594" t="s">
        <v>1681</v>
      </c>
      <c r="B594" s="15">
        <v>46257</v>
      </c>
      <c r="C594" t="s">
        <v>1337</v>
      </c>
      <c r="D594" t="s">
        <v>1037</v>
      </c>
      <c r="E594" t="s">
        <v>396</v>
      </c>
      <c r="F594" t="s">
        <v>1081</v>
      </c>
      <c r="G594" t="s">
        <v>1082</v>
      </c>
      <c r="H594" s="16">
        <v>7</v>
      </c>
      <c r="I594" t="s">
        <v>53</v>
      </c>
      <c r="J594" s="16">
        <v>2</v>
      </c>
    </row>
    <row r="595" spans="1:10">
      <c r="A595" t="s">
        <v>1682</v>
      </c>
      <c r="B595" s="15">
        <v>46234</v>
      </c>
      <c r="C595" t="s">
        <v>1337</v>
      </c>
      <c r="D595" t="s">
        <v>650</v>
      </c>
      <c r="E595" t="s">
        <v>37</v>
      </c>
      <c r="F595" t="s">
        <v>1086</v>
      </c>
      <c r="G595" t="s">
        <v>1093</v>
      </c>
      <c r="H595" s="16">
        <v>8</v>
      </c>
      <c r="I595" t="s">
        <v>41</v>
      </c>
      <c r="J595" s="16">
        <v>1</v>
      </c>
    </row>
    <row r="596" spans="1:10">
      <c r="A596" t="s">
        <v>1683</v>
      </c>
      <c r="B596" s="15">
        <v>46293</v>
      </c>
      <c r="C596" t="s">
        <v>1337</v>
      </c>
      <c r="D596" t="s">
        <v>705</v>
      </c>
      <c r="E596" t="s">
        <v>37</v>
      </c>
      <c r="F596" t="s">
        <v>1086</v>
      </c>
      <c r="G596" t="s">
        <v>1082</v>
      </c>
      <c r="H596" s="16">
        <v>6</v>
      </c>
      <c r="I596" t="s">
        <v>53</v>
      </c>
      <c r="J596" s="16">
        <v>2</v>
      </c>
    </row>
    <row r="597" spans="1:10">
      <c r="A597" t="s">
        <v>1684</v>
      </c>
      <c r="B597" s="15">
        <v>46208</v>
      </c>
      <c r="C597" t="s">
        <v>1337</v>
      </c>
      <c r="D597" t="s">
        <v>739</v>
      </c>
      <c r="E597" t="s">
        <v>37</v>
      </c>
      <c r="F597" t="s">
        <v>1090</v>
      </c>
      <c r="G597" t="s">
        <v>1093</v>
      </c>
      <c r="H597" s="16">
        <v>7</v>
      </c>
      <c r="I597" t="s">
        <v>53</v>
      </c>
      <c r="J597" s="16">
        <v>1</v>
      </c>
    </row>
    <row r="598" spans="1:10">
      <c r="A598" t="s">
        <v>1685</v>
      </c>
      <c r="B598" s="15">
        <v>46293</v>
      </c>
      <c r="C598" t="s">
        <v>1337</v>
      </c>
      <c r="D598" t="s">
        <v>1067</v>
      </c>
      <c r="E598" t="s">
        <v>396</v>
      </c>
      <c r="F598" t="s">
        <v>1090</v>
      </c>
      <c r="G598" t="s">
        <v>1082</v>
      </c>
      <c r="H598" s="16">
        <v>3</v>
      </c>
      <c r="I598" t="s">
        <v>41</v>
      </c>
      <c r="J598" s="16">
        <v>1</v>
      </c>
    </row>
    <row r="599" spans="1:10">
      <c r="A599" t="s">
        <v>1686</v>
      </c>
      <c r="B599" s="15">
        <v>46220</v>
      </c>
      <c r="C599" t="s">
        <v>1337</v>
      </c>
      <c r="D599" t="s">
        <v>734</v>
      </c>
      <c r="E599" t="s">
        <v>37</v>
      </c>
      <c r="F599" t="s">
        <v>1086</v>
      </c>
      <c r="G599" t="s">
        <v>1082</v>
      </c>
      <c r="H599" s="16">
        <v>7</v>
      </c>
      <c r="I599" t="s">
        <v>53</v>
      </c>
      <c r="J599" s="16">
        <v>3</v>
      </c>
    </row>
    <row r="600" spans="1:10">
      <c r="A600" t="s">
        <v>1687</v>
      </c>
      <c r="B600" s="15">
        <v>46275</v>
      </c>
      <c r="C600" t="s">
        <v>1337</v>
      </c>
      <c r="D600" t="s">
        <v>1005</v>
      </c>
      <c r="E600" t="s">
        <v>396</v>
      </c>
      <c r="F600" t="s">
        <v>1081</v>
      </c>
      <c r="G600" t="s">
        <v>1082</v>
      </c>
      <c r="H600" s="16">
        <v>6</v>
      </c>
      <c r="I600" t="s">
        <v>41</v>
      </c>
      <c r="J600" s="16">
        <v>3</v>
      </c>
    </row>
    <row r="601" spans="1:10">
      <c r="A601" t="s">
        <v>1688</v>
      </c>
      <c r="B601" s="15">
        <v>46275</v>
      </c>
      <c r="C601" t="s">
        <v>1337</v>
      </c>
      <c r="D601" t="s">
        <v>1025</v>
      </c>
      <c r="E601" t="s">
        <v>396</v>
      </c>
      <c r="F601" t="s">
        <v>1090</v>
      </c>
      <c r="G601" t="s">
        <v>1082</v>
      </c>
      <c r="H601" s="16">
        <v>8</v>
      </c>
      <c r="I601" t="s">
        <v>41</v>
      </c>
      <c r="J601" s="16">
        <v>2</v>
      </c>
    </row>
    <row r="602" spans="1:10">
      <c r="A602" t="s">
        <v>1689</v>
      </c>
      <c r="B602" s="15">
        <v>46261</v>
      </c>
      <c r="C602" t="s">
        <v>1337</v>
      </c>
      <c r="D602" t="s">
        <v>1053</v>
      </c>
      <c r="E602" t="s">
        <v>396</v>
      </c>
      <c r="F602" t="s">
        <v>1081</v>
      </c>
      <c r="G602" t="s">
        <v>1082</v>
      </c>
      <c r="H602" s="16">
        <v>11</v>
      </c>
      <c r="I602" t="s">
        <v>53</v>
      </c>
      <c r="J602" s="16">
        <v>3</v>
      </c>
    </row>
    <row r="603" spans="1:10">
      <c r="A603" t="s">
        <v>1690</v>
      </c>
      <c r="B603" s="15">
        <v>46221</v>
      </c>
      <c r="C603" t="s">
        <v>1337</v>
      </c>
      <c r="D603" t="s">
        <v>667</v>
      </c>
      <c r="E603" t="s">
        <v>37</v>
      </c>
      <c r="F603" t="s">
        <v>1086</v>
      </c>
      <c r="G603" t="s">
        <v>1082</v>
      </c>
      <c r="H603" s="16">
        <v>5</v>
      </c>
      <c r="I603" t="s">
        <v>53</v>
      </c>
      <c r="J603" s="16">
        <v>2</v>
      </c>
    </row>
    <row r="604" spans="1:10">
      <c r="A604" t="s">
        <v>1691</v>
      </c>
      <c r="B604" s="15">
        <v>46273</v>
      </c>
      <c r="C604" t="s">
        <v>1337</v>
      </c>
      <c r="D604" t="s">
        <v>1002</v>
      </c>
      <c r="E604" t="s">
        <v>396</v>
      </c>
      <c r="F604" t="s">
        <v>1081</v>
      </c>
      <c r="G604" t="s">
        <v>1093</v>
      </c>
      <c r="H604" s="16">
        <v>1</v>
      </c>
      <c r="I604" t="s">
        <v>41</v>
      </c>
      <c r="J604" s="16">
        <v>2</v>
      </c>
    </row>
    <row r="605" spans="1:10">
      <c r="A605" t="s">
        <v>1692</v>
      </c>
      <c r="B605" s="15">
        <v>46244</v>
      </c>
      <c r="C605" t="s">
        <v>1337</v>
      </c>
      <c r="D605" t="s">
        <v>723</v>
      </c>
      <c r="E605" t="s">
        <v>37</v>
      </c>
      <c r="F605" t="s">
        <v>1086</v>
      </c>
      <c r="G605" t="s">
        <v>1093</v>
      </c>
      <c r="H605" s="16">
        <v>6</v>
      </c>
      <c r="I605" t="s">
        <v>53</v>
      </c>
      <c r="J605" s="16">
        <v>2</v>
      </c>
    </row>
    <row r="606" spans="1:10">
      <c r="A606" t="s">
        <v>1693</v>
      </c>
      <c r="B606" s="15">
        <v>46219</v>
      </c>
      <c r="C606" t="s">
        <v>1337</v>
      </c>
      <c r="D606" t="s">
        <v>937</v>
      </c>
      <c r="E606" t="s">
        <v>396</v>
      </c>
      <c r="F606" t="s">
        <v>1081</v>
      </c>
      <c r="G606" t="s">
        <v>1093</v>
      </c>
      <c r="H606" s="16">
        <v>6</v>
      </c>
      <c r="I606" t="s">
        <v>53</v>
      </c>
      <c r="J606" s="16">
        <v>3</v>
      </c>
    </row>
    <row r="607" spans="1:10">
      <c r="A607" t="s">
        <v>1694</v>
      </c>
      <c r="B607" s="15">
        <v>46207</v>
      </c>
      <c r="C607" t="s">
        <v>1337</v>
      </c>
      <c r="D607" t="s">
        <v>775</v>
      </c>
      <c r="E607" t="s">
        <v>231</v>
      </c>
      <c r="F607" t="s">
        <v>1086</v>
      </c>
      <c r="G607" t="s">
        <v>1093</v>
      </c>
      <c r="H607" s="16">
        <v>9</v>
      </c>
      <c r="I607" t="s">
        <v>53</v>
      </c>
      <c r="J607" s="16">
        <v>2</v>
      </c>
    </row>
    <row r="608" spans="1:10">
      <c r="A608" t="s">
        <v>1695</v>
      </c>
      <c r="B608" s="15">
        <v>46251</v>
      </c>
      <c r="C608" t="s">
        <v>1337</v>
      </c>
      <c r="D608" t="s">
        <v>904</v>
      </c>
      <c r="E608" t="s">
        <v>231</v>
      </c>
      <c r="F608" t="s">
        <v>1090</v>
      </c>
      <c r="G608" t="s">
        <v>1097</v>
      </c>
      <c r="H608" s="16">
        <v>7</v>
      </c>
      <c r="I608" t="s">
        <v>53</v>
      </c>
      <c r="J608" s="16">
        <v>2</v>
      </c>
    </row>
    <row r="609" spans="1:10">
      <c r="A609" t="s">
        <v>1696</v>
      </c>
      <c r="B609" s="15">
        <v>46213</v>
      </c>
      <c r="C609" t="s">
        <v>1337</v>
      </c>
      <c r="D609" t="s">
        <v>801</v>
      </c>
      <c r="E609" t="s">
        <v>231</v>
      </c>
      <c r="F609" t="s">
        <v>1084</v>
      </c>
      <c r="G609" t="s">
        <v>1082</v>
      </c>
      <c r="H609" s="16">
        <v>7</v>
      </c>
      <c r="I609" t="s">
        <v>53</v>
      </c>
      <c r="J609" s="16">
        <v>2</v>
      </c>
    </row>
    <row r="610" spans="1:10">
      <c r="A610" t="s">
        <v>1697</v>
      </c>
      <c r="B610" s="15">
        <v>46244</v>
      </c>
      <c r="C610" t="s">
        <v>1337</v>
      </c>
      <c r="D610" t="s">
        <v>758</v>
      </c>
      <c r="E610" t="s">
        <v>231</v>
      </c>
      <c r="F610" t="s">
        <v>1084</v>
      </c>
      <c r="G610" t="s">
        <v>1091</v>
      </c>
      <c r="H610" s="16">
        <v>10</v>
      </c>
      <c r="I610" t="s">
        <v>41</v>
      </c>
      <c r="J610" s="16">
        <v>2</v>
      </c>
    </row>
    <row r="611" spans="1:10">
      <c r="A611" t="s">
        <v>1698</v>
      </c>
      <c r="B611" s="15">
        <v>46208</v>
      </c>
      <c r="C611" t="s">
        <v>1337</v>
      </c>
      <c r="D611" t="s">
        <v>674</v>
      </c>
      <c r="E611" t="s">
        <v>37</v>
      </c>
      <c r="F611" t="s">
        <v>1086</v>
      </c>
      <c r="G611" t="s">
        <v>1082</v>
      </c>
      <c r="H611" s="16">
        <v>3</v>
      </c>
      <c r="I611" t="s">
        <v>53</v>
      </c>
      <c r="J611" s="16">
        <v>3</v>
      </c>
    </row>
    <row r="612" spans="1:10">
      <c r="A612" t="s">
        <v>1699</v>
      </c>
      <c r="B612" s="15">
        <v>46240</v>
      </c>
      <c r="C612" t="s">
        <v>1337</v>
      </c>
      <c r="D612" t="s">
        <v>993</v>
      </c>
      <c r="E612" t="s">
        <v>396</v>
      </c>
      <c r="F612" t="s">
        <v>1090</v>
      </c>
      <c r="G612" t="s">
        <v>1082</v>
      </c>
      <c r="H612" s="16">
        <v>4</v>
      </c>
      <c r="I612" t="s">
        <v>53</v>
      </c>
      <c r="J612" s="16">
        <v>1</v>
      </c>
    </row>
    <row r="613" spans="1:10">
      <c r="A613" t="s">
        <v>1700</v>
      </c>
      <c r="B613" s="15">
        <v>46253</v>
      </c>
      <c r="C613" t="s">
        <v>1337</v>
      </c>
      <c r="D613" t="s">
        <v>839</v>
      </c>
      <c r="E613" t="s">
        <v>231</v>
      </c>
      <c r="F613" t="s">
        <v>1086</v>
      </c>
      <c r="G613" t="s">
        <v>1082</v>
      </c>
      <c r="H613" s="16">
        <v>4</v>
      </c>
      <c r="I613" t="s">
        <v>53</v>
      </c>
      <c r="J613" s="16">
        <v>3</v>
      </c>
    </row>
    <row r="614" spans="1:10">
      <c r="A614" t="s">
        <v>1701</v>
      </c>
      <c r="B614" s="15">
        <v>46232</v>
      </c>
      <c r="C614" t="s">
        <v>1337</v>
      </c>
      <c r="D614" t="s">
        <v>1024</v>
      </c>
      <c r="E614" t="s">
        <v>396</v>
      </c>
      <c r="F614" t="s">
        <v>1081</v>
      </c>
      <c r="G614" t="s">
        <v>1082</v>
      </c>
      <c r="H614" s="16">
        <v>9</v>
      </c>
      <c r="I614" t="s">
        <v>53</v>
      </c>
      <c r="J614" s="16">
        <v>4</v>
      </c>
    </row>
    <row r="615" spans="1:10">
      <c r="A615" t="s">
        <v>1702</v>
      </c>
      <c r="B615" s="15">
        <v>46241</v>
      </c>
      <c r="C615" t="s">
        <v>1337</v>
      </c>
      <c r="D615" t="s">
        <v>905</v>
      </c>
      <c r="E615" t="s">
        <v>231</v>
      </c>
      <c r="F615" t="s">
        <v>1086</v>
      </c>
      <c r="G615" t="s">
        <v>1082</v>
      </c>
      <c r="H615" s="16">
        <v>6</v>
      </c>
      <c r="I615" t="s">
        <v>53</v>
      </c>
      <c r="J615" s="16">
        <v>3</v>
      </c>
    </row>
    <row r="616" spans="1:10">
      <c r="A616" t="s">
        <v>1703</v>
      </c>
      <c r="B616" s="15">
        <v>46294</v>
      </c>
      <c r="C616" t="s">
        <v>1337</v>
      </c>
      <c r="D616" t="s">
        <v>583</v>
      </c>
      <c r="E616" t="s">
        <v>37</v>
      </c>
      <c r="F616" t="s">
        <v>1090</v>
      </c>
      <c r="G616" t="s">
        <v>1082</v>
      </c>
      <c r="H616" s="16">
        <v>6</v>
      </c>
      <c r="I616" t="s">
        <v>41</v>
      </c>
      <c r="J616" s="16">
        <v>4</v>
      </c>
    </row>
    <row r="617" spans="1:10">
      <c r="A617" t="s">
        <v>1704</v>
      </c>
      <c r="B617" s="15">
        <v>46271</v>
      </c>
      <c r="C617" t="s">
        <v>1337</v>
      </c>
      <c r="D617" t="s">
        <v>971</v>
      </c>
      <c r="E617" t="s">
        <v>396</v>
      </c>
      <c r="F617" t="s">
        <v>1084</v>
      </c>
      <c r="G617" t="s">
        <v>1097</v>
      </c>
      <c r="H617" s="16">
        <v>5</v>
      </c>
      <c r="I617" t="s">
        <v>53</v>
      </c>
      <c r="J617" s="16">
        <v>1</v>
      </c>
    </row>
    <row r="618" spans="1:10">
      <c r="A618" t="s">
        <v>1705</v>
      </c>
      <c r="B618" s="15">
        <v>46221</v>
      </c>
      <c r="C618" t="s">
        <v>1337</v>
      </c>
      <c r="D618" t="s">
        <v>589</v>
      </c>
      <c r="E618" t="s">
        <v>37</v>
      </c>
      <c r="F618" t="s">
        <v>1086</v>
      </c>
      <c r="G618" t="s">
        <v>1093</v>
      </c>
      <c r="H618" s="16">
        <v>8</v>
      </c>
      <c r="I618" t="s">
        <v>41</v>
      </c>
      <c r="J618" s="16">
        <v>4</v>
      </c>
    </row>
    <row r="619" spans="1:10">
      <c r="A619" t="s">
        <v>1706</v>
      </c>
      <c r="B619" s="15">
        <v>46222</v>
      </c>
      <c r="C619" t="s">
        <v>1337</v>
      </c>
      <c r="D619" t="s">
        <v>917</v>
      </c>
      <c r="E619" t="s">
        <v>396</v>
      </c>
      <c r="F619" t="s">
        <v>1081</v>
      </c>
      <c r="G619" t="s">
        <v>1093</v>
      </c>
      <c r="H619" s="16">
        <v>9</v>
      </c>
      <c r="I619" t="s">
        <v>53</v>
      </c>
      <c r="J619" s="16">
        <v>3</v>
      </c>
    </row>
    <row r="620" spans="1:10">
      <c r="A620" t="s">
        <v>1707</v>
      </c>
      <c r="B620" s="15">
        <v>46270</v>
      </c>
      <c r="C620" t="s">
        <v>1337</v>
      </c>
      <c r="D620" t="s">
        <v>603</v>
      </c>
      <c r="E620" t="s">
        <v>37</v>
      </c>
      <c r="F620" t="s">
        <v>1086</v>
      </c>
      <c r="G620" t="s">
        <v>1093</v>
      </c>
      <c r="H620" s="16">
        <v>6</v>
      </c>
      <c r="I620" t="s">
        <v>53</v>
      </c>
      <c r="J620" s="16">
        <v>1</v>
      </c>
    </row>
    <row r="621" spans="1:10">
      <c r="A621" t="s">
        <v>1708</v>
      </c>
      <c r="B621" s="15">
        <v>46295</v>
      </c>
      <c r="C621" t="s">
        <v>1337</v>
      </c>
      <c r="D621" t="s">
        <v>882</v>
      </c>
      <c r="E621" t="s">
        <v>231</v>
      </c>
      <c r="F621" t="s">
        <v>1081</v>
      </c>
      <c r="G621" t="s">
        <v>1082</v>
      </c>
      <c r="H621" s="16">
        <v>6</v>
      </c>
      <c r="I621" t="s">
        <v>53</v>
      </c>
      <c r="J621" s="16">
        <v>2</v>
      </c>
    </row>
    <row r="622" spans="1:10">
      <c r="A622" t="s">
        <v>1709</v>
      </c>
      <c r="B622" s="15">
        <v>46294</v>
      </c>
      <c r="C622" t="s">
        <v>1337</v>
      </c>
      <c r="D622" t="s">
        <v>938</v>
      </c>
      <c r="E622" t="s">
        <v>396</v>
      </c>
      <c r="F622" t="s">
        <v>1090</v>
      </c>
      <c r="G622" t="s">
        <v>1082</v>
      </c>
      <c r="H622" s="16">
        <v>8</v>
      </c>
      <c r="I622" t="s">
        <v>53</v>
      </c>
      <c r="J622" s="16">
        <v>3</v>
      </c>
    </row>
    <row r="623" spans="1:10">
      <c r="A623" t="s">
        <v>1710</v>
      </c>
      <c r="B623" s="15">
        <v>46248</v>
      </c>
      <c r="C623" t="s">
        <v>1337</v>
      </c>
      <c r="D623" t="s">
        <v>1038</v>
      </c>
      <c r="E623" t="s">
        <v>396</v>
      </c>
      <c r="F623" t="s">
        <v>1086</v>
      </c>
      <c r="G623" t="s">
        <v>1093</v>
      </c>
      <c r="H623" s="16">
        <v>7</v>
      </c>
      <c r="I623" t="s">
        <v>53</v>
      </c>
      <c r="J623" s="16">
        <v>2</v>
      </c>
    </row>
    <row r="624" spans="1:10">
      <c r="A624" t="s">
        <v>1711</v>
      </c>
      <c r="B624" s="15">
        <v>46265</v>
      </c>
      <c r="C624" t="s">
        <v>1337</v>
      </c>
      <c r="D624" t="s">
        <v>950</v>
      </c>
      <c r="E624" t="s">
        <v>396</v>
      </c>
      <c r="F624" t="s">
        <v>1086</v>
      </c>
      <c r="G624" t="s">
        <v>1082</v>
      </c>
      <c r="H624" s="16">
        <v>6</v>
      </c>
      <c r="I624" t="s">
        <v>53</v>
      </c>
      <c r="J624" s="16">
        <v>2</v>
      </c>
    </row>
    <row r="625" spans="1:10">
      <c r="A625" t="s">
        <v>1712</v>
      </c>
      <c r="B625" s="15">
        <v>46245</v>
      </c>
      <c r="C625" t="s">
        <v>1337</v>
      </c>
      <c r="D625" t="s">
        <v>577</v>
      </c>
      <c r="E625" t="s">
        <v>37</v>
      </c>
      <c r="F625" t="s">
        <v>1090</v>
      </c>
      <c r="G625" t="s">
        <v>1082</v>
      </c>
      <c r="H625" s="16">
        <v>13</v>
      </c>
      <c r="I625" t="s">
        <v>41</v>
      </c>
      <c r="J625" s="16">
        <v>1</v>
      </c>
    </row>
    <row r="626" spans="1:10">
      <c r="A626" t="s">
        <v>1713</v>
      </c>
      <c r="B626" s="15">
        <v>46252</v>
      </c>
      <c r="C626" t="s">
        <v>1337</v>
      </c>
      <c r="D626" t="s">
        <v>709</v>
      </c>
      <c r="E626" t="s">
        <v>37</v>
      </c>
      <c r="F626" t="s">
        <v>1090</v>
      </c>
      <c r="G626" t="s">
        <v>1093</v>
      </c>
      <c r="H626" s="16">
        <v>2</v>
      </c>
      <c r="I626" t="s">
        <v>53</v>
      </c>
      <c r="J626" s="16">
        <v>3</v>
      </c>
    </row>
    <row r="627" spans="1:10">
      <c r="A627" t="s">
        <v>1714</v>
      </c>
      <c r="B627" s="15">
        <v>46210</v>
      </c>
      <c r="C627" t="s">
        <v>1337</v>
      </c>
      <c r="D627" t="s">
        <v>1056</v>
      </c>
      <c r="E627" t="s">
        <v>396</v>
      </c>
      <c r="F627" t="s">
        <v>1084</v>
      </c>
      <c r="G627" t="s">
        <v>1082</v>
      </c>
      <c r="H627" s="16">
        <v>6</v>
      </c>
      <c r="I627" t="s">
        <v>53</v>
      </c>
      <c r="J627" s="16">
        <v>3</v>
      </c>
    </row>
    <row r="628" spans="1:10">
      <c r="A628" t="s">
        <v>1715</v>
      </c>
      <c r="B628" s="15">
        <v>46212</v>
      </c>
      <c r="C628" t="s">
        <v>1337</v>
      </c>
      <c r="D628" t="s">
        <v>1033</v>
      </c>
      <c r="E628" t="s">
        <v>396</v>
      </c>
      <c r="F628" t="s">
        <v>1081</v>
      </c>
      <c r="G628" t="s">
        <v>1093</v>
      </c>
      <c r="H628" s="16">
        <v>5</v>
      </c>
      <c r="I628" t="s">
        <v>53</v>
      </c>
      <c r="J628" s="16">
        <v>2</v>
      </c>
    </row>
    <row r="629" spans="1:10">
      <c r="A629" t="s">
        <v>1716</v>
      </c>
      <c r="B629" s="15">
        <v>46231</v>
      </c>
      <c r="C629" t="s">
        <v>1337</v>
      </c>
      <c r="D629" t="s">
        <v>1060</v>
      </c>
      <c r="E629" t="s">
        <v>396</v>
      </c>
      <c r="F629" t="s">
        <v>1090</v>
      </c>
      <c r="G629" t="s">
        <v>1093</v>
      </c>
      <c r="H629" s="16">
        <v>1</v>
      </c>
      <c r="I629" t="s">
        <v>53</v>
      </c>
      <c r="J629" s="16">
        <v>4</v>
      </c>
    </row>
    <row r="630" spans="1:10">
      <c r="A630" t="s">
        <v>1717</v>
      </c>
      <c r="B630" s="15">
        <v>46227</v>
      </c>
      <c r="C630" t="s">
        <v>1337</v>
      </c>
      <c r="D630" t="s">
        <v>960</v>
      </c>
      <c r="E630" t="s">
        <v>396</v>
      </c>
      <c r="F630" t="s">
        <v>1081</v>
      </c>
      <c r="G630" t="s">
        <v>1093</v>
      </c>
      <c r="H630" s="16">
        <v>13</v>
      </c>
      <c r="I630" t="s">
        <v>41</v>
      </c>
      <c r="J630" s="16">
        <v>2</v>
      </c>
    </row>
    <row r="631" spans="1:10">
      <c r="A631" t="s">
        <v>1718</v>
      </c>
      <c r="B631" s="15">
        <v>46231</v>
      </c>
      <c r="C631" t="s">
        <v>1337</v>
      </c>
      <c r="D631" t="s">
        <v>730</v>
      </c>
      <c r="E631" t="s">
        <v>37</v>
      </c>
      <c r="F631" t="s">
        <v>1084</v>
      </c>
      <c r="G631" t="s">
        <v>1082</v>
      </c>
      <c r="H631" s="16">
        <v>5</v>
      </c>
      <c r="I631" t="s">
        <v>41</v>
      </c>
      <c r="J631" s="16">
        <v>3</v>
      </c>
    </row>
    <row r="632" spans="1:10">
      <c r="A632" t="s">
        <v>1719</v>
      </c>
      <c r="B632" s="15">
        <v>46288</v>
      </c>
      <c r="C632" t="s">
        <v>1337</v>
      </c>
      <c r="D632" t="s">
        <v>1065</v>
      </c>
      <c r="E632" t="s">
        <v>396</v>
      </c>
      <c r="F632" t="s">
        <v>1084</v>
      </c>
      <c r="G632" t="s">
        <v>1082</v>
      </c>
      <c r="H632" s="16">
        <v>7</v>
      </c>
      <c r="I632" t="s">
        <v>53</v>
      </c>
      <c r="J632" s="16">
        <v>2</v>
      </c>
    </row>
    <row r="633" spans="1:10">
      <c r="A633" t="s">
        <v>1720</v>
      </c>
      <c r="B633" s="15">
        <v>46274</v>
      </c>
      <c r="C633" t="s">
        <v>1337</v>
      </c>
      <c r="D633" t="s">
        <v>577</v>
      </c>
      <c r="E633" t="s">
        <v>37</v>
      </c>
      <c r="F633" t="s">
        <v>1090</v>
      </c>
      <c r="G633" t="s">
        <v>1091</v>
      </c>
      <c r="H633" s="16">
        <v>8</v>
      </c>
      <c r="I633" t="s">
        <v>53</v>
      </c>
      <c r="J633" s="16">
        <v>3</v>
      </c>
    </row>
    <row r="634" spans="1:10">
      <c r="A634" t="s">
        <v>1721</v>
      </c>
      <c r="B634" s="15">
        <v>46277</v>
      </c>
      <c r="C634" t="s">
        <v>1337</v>
      </c>
      <c r="D634" t="s">
        <v>679</v>
      </c>
      <c r="E634" t="s">
        <v>37</v>
      </c>
      <c r="F634" t="s">
        <v>1081</v>
      </c>
      <c r="G634" t="s">
        <v>1082</v>
      </c>
      <c r="H634" s="16">
        <v>8</v>
      </c>
      <c r="I634" t="s">
        <v>53</v>
      </c>
      <c r="J634" s="16">
        <v>2</v>
      </c>
    </row>
    <row r="635" spans="1:10">
      <c r="A635" t="s">
        <v>1722</v>
      </c>
      <c r="B635" s="15">
        <v>46238</v>
      </c>
      <c r="C635" t="s">
        <v>1337</v>
      </c>
      <c r="D635" t="s">
        <v>647</v>
      </c>
      <c r="E635" t="s">
        <v>37</v>
      </c>
      <c r="F635" t="s">
        <v>1081</v>
      </c>
      <c r="G635" t="s">
        <v>1082</v>
      </c>
      <c r="H635" s="16">
        <v>10</v>
      </c>
      <c r="I635" t="s">
        <v>53</v>
      </c>
      <c r="J635" s="16">
        <v>2</v>
      </c>
    </row>
    <row r="636" spans="1:10">
      <c r="A636" t="s">
        <v>1723</v>
      </c>
      <c r="B636" s="15">
        <v>46232</v>
      </c>
      <c r="C636" t="s">
        <v>1337</v>
      </c>
      <c r="D636" t="s">
        <v>582</v>
      </c>
      <c r="E636" t="s">
        <v>37</v>
      </c>
      <c r="F636" t="s">
        <v>1081</v>
      </c>
      <c r="G636" t="s">
        <v>1091</v>
      </c>
      <c r="H636" s="16">
        <v>6</v>
      </c>
      <c r="I636" t="s">
        <v>53</v>
      </c>
      <c r="J636" s="16">
        <v>3</v>
      </c>
    </row>
    <row r="637" spans="1:10">
      <c r="A637" t="s">
        <v>1724</v>
      </c>
      <c r="B637" s="15">
        <v>46277</v>
      </c>
      <c r="C637" t="s">
        <v>1337</v>
      </c>
      <c r="D637" t="s">
        <v>826</v>
      </c>
      <c r="E637" t="s">
        <v>231</v>
      </c>
      <c r="F637" t="s">
        <v>1084</v>
      </c>
      <c r="G637" t="s">
        <v>1093</v>
      </c>
      <c r="H637" s="16">
        <v>4</v>
      </c>
      <c r="I637" t="s">
        <v>53</v>
      </c>
      <c r="J637" s="16">
        <v>1</v>
      </c>
    </row>
    <row r="638" spans="1:10">
      <c r="A638" t="s">
        <v>1725</v>
      </c>
      <c r="B638" s="15">
        <v>46295</v>
      </c>
      <c r="C638" t="s">
        <v>1337</v>
      </c>
      <c r="D638" t="s">
        <v>726</v>
      </c>
      <c r="E638" t="s">
        <v>37</v>
      </c>
      <c r="F638" t="s">
        <v>1090</v>
      </c>
      <c r="G638" t="s">
        <v>1082</v>
      </c>
      <c r="H638" s="16">
        <v>6</v>
      </c>
      <c r="I638" t="s">
        <v>53</v>
      </c>
      <c r="J638" s="16">
        <v>3</v>
      </c>
    </row>
    <row r="639" spans="1:10">
      <c r="A639" t="s">
        <v>1726</v>
      </c>
      <c r="B639" s="15">
        <v>46278</v>
      </c>
      <c r="C639" t="s">
        <v>1337</v>
      </c>
      <c r="D639" t="s">
        <v>1028</v>
      </c>
      <c r="E639" t="s">
        <v>396</v>
      </c>
      <c r="F639" t="s">
        <v>1086</v>
      </c>
      <c r="G639" t="s">
        <v>1091</v>
      </c>
      <c r="H639" s="16">
        <v>11</v>
      </c>
      <c r="I639" t="s">
        <v>41</v>
      </c>
      <c r="J639" s="16">
        <v>3</v>
      </c>
    </row>
    <row r="640" spans="1:10">
      <c r="A640" t="s">
        <v>1727</v>
      </c>
      <c r="B640" s="15">
        <v>46235</v>
      </c>
      <c r="C640" t="s">
        <v>1337</v>
      </c>
      <c r="D640" t="s">
        <v>1068</v>
      </c>
      <c r="E640" t="s">
        <v>396</v>
      </c>
      <c r="F640" t="s">
        <v>1086</v>
      </c>
      <c r="G640" t="s">
        <v>1091</v>
      </c>
      <c r="H640" s="16">
        <v>4</v>
      </c>
      <c r="I640" t="s">
        <v>53</v>
      </c>
      <c r="J640" s="16">
        <v>2</v>
      </c>
    </row>
    <row r="641" spans="1:10">
      <c r="A641" t="s">
        <v>1728</v>
      </c>
      <c r="B641" s="15">
        <v>46218</v>
      </c>
      <c r="C641" t="s">
        <v>1337</v>
      </c>
      <c r="D641" t="s">
        <v>970</v>
      </c>
      <c r="E641" t="s">
        <v>396</v>
      </c>
      <c r="F641" t="s">
        <v>1081</v>
      </c>
      <c r="G641" t="s">
        <v>1082</v>
      </c>
      <c r="H641" s="16">
        <v>5</v>
      </c>
      <c r="I641" t="s">
        <v>53</v>
      </c>
      <c r="J641" s="16">
        <v>3</v>
      </c>
    </row>
    <row r="642" spans="1:10">
      <c r="A642" t="s">
        <v>1729</v>
      </c>
      <c r="B642" s="15">
        <v>46270</v>
      </c>
      <c r="C642" t="s">
        <v>1337</v>
      </c>
      <c r="D642" t="s">
        <v>978</v>
      </c>
      <c r="E642" t="s">
        <v>396</v>
      </c>
      <c r="F642" t="s">
        <v>1086</v>
      </c>
      <c r="G642" t="s">
        <v>1082</v>
      </c>
      <c r="H642" s="16">
        <v>8</v>
      </c>
      <c r="I642" t="s">
        <v>53</v>
      </c>
      <c r="J642" s="16">
        <v>3</v>
      </c>
    </row>
    <row r="643" spans="1:10">
      <c r="A643" t="s">
        <v>1730</v>
      </c>
      <c r="B643" s="15">
        <v>46216</v>
      </c>
      <c r="C643" t="s">
        <v>1337</v>
      </c>
      <c r="D643" t="s">
        <v>575</v>
      </c>
      <c r="E643" t="s">
        <v>37</v>
      </c>
      <c r="F643" t="s">
        <v>1086</v>
      </c>
      <c r="G643" t="s">
        <v>1091</v>
      </c>
      <c r="H643" s="16">
        <v>5</v>
      </c>
      <c r="I643" t="s">
        <v>53</v>
      </c>
      <c r="J643" s="16">
        <v>4</v>
      </c>
    </row>
    <row r="644" spans="1:10">
      <c r="A644" t="s">
        <v>1731</v>
      </c>
      <c r="B644" s="15">
        <v>46228</v>
      </c>
      <c r="C644" t="s">
        <v>1337</v>
      </c>
      <c r="D644" t="s">
        <v>785</v>
      </c>
      <c r="E644" t="s">
        <v>231</v>
      </c>
      <c r="F644" t="s">
        <v>1081</v>
      </c>
      <c r="G644" t="s">
        <v>1093</v>
      </c>
      <c r="H644" s="16">
        <v>3</v>
      </c>
      <c r="I644" t="s">
        <v>41</v>
      </c>
      <c r="J644" s="16">
        <v>3</v>
      </c>
    </row>
    <row r="645" spans="1:10">
      <c r="A645" t="s">
        <v>1732</v>
      </c>
      <c r="B645" s="15">
        <v>46266</v>
      </c>
      <c r="C645" t="s">
        <v>1337</v>
      </c>
      <c r="D645" t="s">
        <v>696</v>
      </c>
      <c r="E645" t="s">
        <v>37</v>
      </c>
      <c r="F645" t="s">
        <v>1084</v>
      </c>
      <c r="G645" t="s">
        <v>1091</v>
      </c>
      <c r="H645" s="16">
        <v>9</v>
      </c>
      <c r="I645" t="s">
        <v>53</v>
      </c>
      <c r="J645" s="16">
        <v>3</v>
      </c>
    </row>
    <row r="646" spans="1:10">
      <c r="A646" t="s">
        <v>1733</v>
      </c>
      <c r="B646" s="15">
        <v>46260</v>
      </c>
      <c r="C646" t="s">
        <v>1337</v>
      </c>
      <c r="D646" t="s">
        <v>630</v>
      </c>
      <c r="E646" t="s">
        <v>37</v>
      </c>
      <c r="F646" t="s">
        <v>1086</v>
      </c>
      <c r="G646" t="s">
        <v>1093</v>
      </c>
      <c r="H646" s="16">
        <v>5</v>
      </c>
      <c r="I646" t="s">
        <v>53</v>
      </c>
      <c r="J646" s="16">
        <v>3</v>
      </c>
    </row>
    <row r="647" spans="1:10">
      <c r="A647" t="s">
        <v>1734</v>
      </c>
      <c r="B647" s="15">
        <v>46294</v>
      </c>
      <c r="C647" t="s">
        <v>1337</v>
      </c>
      <c r="D647" t="s">
        <v>636</v>
      </c>
      <c r="E647" t="s">
        <v>37</v>
      </c>
      <c r="F647" t="s">
        <v>1081</v>
      </c>
      <c r="G647" t="s">
        <v>1093</v>
      </c>
      <c r="H647" s="16">
        <v>4</v>
      </c>
      <c r="I647" t="s">
        <v>53</v>
      </c>
      <c r="J647" s="16">
        <v>4</v>
      </c>
    </row>
    <row r="648" spans="1:10">
      <c r="A648" t="s">
        <v>1735</v>
      </c>
      <c r="B648" s="15">
        <v>46209</v>
      </c>
      <c r="C648" t="s">
        <v>1337</v>
      </c>
      <c r="D648" t="s">
        <v>592</v>
      </c>
      <c r="E648" t="s">
        <v>37</v>
      </c>
      <c r="F648" t="s">
        <v>1086</v>
      </c>
      <c r="G648" t="s">
        <v>1093</v>
      </c>
      <c r="H648" s="16">
        <v>5</v>
      </c>
      <c r="I648" t="s">
        <v>53</v>
      </c>
      <c r="J648" s="16">
        <v>1</v>
      </c>
    </row>
    <row r="649" spans="1:10">
      <c r="A649" t="s">
        <v>1736</v>
      </c>
      <c r="B649" s="15">
        <v>46253</v>
      </c>
      <c r="C649" t="s">
        <v>1337</v>
      </c>
      <c r="D649" t="s">
        <v>706</v>
      </c>
      <c r="E649" t="s">
        <v>37</v>
      </c>
      <c r="F649" t="s">
        <v>1086</v>
      </c>
      <c r="G649" t="s">
        <v>1091</v>
      </c>
      <c r="H649" s="16">
        <v>8</v>
      </c>
      <c r="I649" t="s">
        <v>41</v>
      </c>
      <c r="J649" s="16">
        <v>2</v>
      </c>
    </row>
    <row r="650" spans="1:10">
      <c r="A650" t="s">
        <v>1737</v>
      </c>
      <c r="B650" s="15">
        <v>46212</v>
      </c>
      <c r="C650" t="s">
        <v>1337</v>
      </c>
      <c r="D650" t="s">
        <v>1004</v>
      </c>
      <c r="E650" t="s">
        <v>396</v>
      </c>
      <c r="F650" t="s">
        <v>1081</v>
      </c>
      <c r="G650" t="s">
        <v>1091</v>
      </c>
      <c r="H650" s="16">
        <v>3</v>
      </c>
      <c r="I650" t="s">
        <v>53</v>
      </c>
      <c r="J650" s="16">
        <v>3</v>
      </c>
    </row>
    <row r="651" spans="1:10">
      <c r="A651" t="s">
        <v>1738</v>
      </c>
      <c r="B651" s="15">
        <v>46277</v>
      </c>
      <c r="C651" t="s">
        <v>1337</v>
      </c>
      <c r="D651" t="s">
        <v>564</v>
      </c>
      <c r="E651" t="s">
        <v>37</v>
      </c>
      <c r="F651" t="s">
        <v>1084</v>
      </c>
      <c r="G651" t="s">
        <v>1093</v>
      </c>
      <c r="H651" s="16">
        <v>5</v>
      </c>
      <c r="I651" t="s">
        <v>53</v>
      </c>
      <c r="J651" s="16">
        <v>2</v>
      </c>
    </row>
    <row r="652" spans="1:10">
      <c r="A652" t="s">
        <v>1739</v>
      </c>
      <c r="B652" s="15">
        <v>46279</v>
      </c>
      <c r="C652" t="s">
        <v>1337</v>
      </c>
      <c r="D652" t="s">
        <v>732</v>
      </c>
      <c r="E652" t="s">
        <v>37</v>
      </c>
      <c r="F652" t="s">
        <v>1081</v>
      </c>
      <c r="G652" t="s">
        <v>1091</v>
      </c>
      <c r="H652" s="16">
        <v>8</v>
      </c>
      <c r="I652" t="s">
        <v>53</v>
      </c>
      <c r="J652" s="16">
        <v>4</v>
      </c>
    </row>
    <row r="653" spans="1:10">
      <c r="A653" t="s">
        <v>1740</v>
      </c>
      <c r="B653" s="15">
        <v>46229</v>
      </c>
      <c r="C653" t="s">
        <v>1337</v>
      </c>
      <c r="D653" t="s">
        <v>1038</v>
      </c>
      <c r="E653" t="s">
        <v>396</v>
      </c>
      <c r="F653" t="s">
        <v>1084</v>
      </c>
      <c r="G653" t="s">
        <v>1082</v>
      </c>
      <c r="H653" s="16">
        <v>9</v>
      </c>
      <c r="I653" t="s">
        <v>53</v>
      </c>
      <c r="J653" s="16">
        <v>2</v>
      </c>
    </row>
    <row r="654" spans="1:10">
      <c r="A654" t="s">
        <v>1741</v>
      </c>
      <c r="B654" s="15">
        <v>46204</v>
      </c>
      <c r="C654" t="s">
        <v>1337</v>
      </c>
      <c r="D654" t="s">
        <v>888</v>
      </c>
      <c r="E654" t="s">
        <v>231</v>
      </c>
      <c r="F654" t="s">
        <v>1090</v>
      </c>
      <c r="G654" t="s">
        <v>1082</v>
      </c>
      <c r="H654" s="16">
        <v>9</v>
      </c>
      <c r="I654" t="s">
        <v>53</v>
      </c>
      <c r="J654" s="16">
        <v>2</v>
      </c>
    </row>
    <row r="655" spans="1:10">
      <c r="A655" t="s">
        <v>1742</v>
      </c>
      <c r="B655" s="15">
        <v>46291</v>
      </c>
      <c r="C655" t="s">
        <v>1337</v>
      </c>
      <c r="D655" t="s">
        <v>692</v>
      </c>
      <c r="E655" t="s">
        <v>37</v>
      </c>
      <c r="F655" t="s">
        <v>1086</v>
      </c>
      <c r="G655" t="s">
        <v>1082</v>
      </c>
      <c r="H655" s="16">
        <v>4</v>
      </c>
      <c r="I655" t="s">
        <v>53</v>
      </c>
      <c r="J655" s="16">
        <v>2</v>
      </c>
    </row>
    <row r="656" spans="1:10">
      <c r="A656" t="s">
        <v>1743</v>
      </c>
      <c r="B656" s="15">
        <v>46223</v>
      </c>
      <c r="C656" t="s">
        <v>1337</v>
      </c>
      <c r="D656" t="s">
        <v>728</v>
      </c>
      <c r="E656" t="s">
        <v>37</v>
      </c>
      <c r="F656" t="s">
        <v>1086</v>
      </c>
      <c r="G656" t="s">
        <v>1082</v>
      </c>
      <c r="H656" s="16">
        <v>6</v>
      </c>
      <c r="I656" t="s">
        <v>53</v>
      </c>
      <c r="J656" s="16">
        <v>4</v>
      </c>
    </row>
    <row r="657" spans="1:10">
      <c r="A657" t="s">
        <v>1744</v>
      </c>
      <c r="B657" s="15">
        <v>46291</v>
      </c>
      <c r="C657" t="s">
        <v>1337</v>
      </c>
      <c r="D657" t="s">
        <v>858</v>
      </c>
      <c r="E657" t="s">
        <v>231</v>
      </c>
      <c r="F657" t="s">
        <v>1090</v>
      </c>
      <c r="G657" t="s">
        <v>1082</v>
      </c>
      <c r="H657" s="16">
        <v>6</v>
      </c>
      <c r="I657" t="s">
        <v>53</v>
      </c>
      <c r="J657" s="16">
        <v>1</v>
      </c>
    </row>
    <row r="658" spans="1:10">
      <c r="A658" t="s">
        <v>1745</v>
      </c>
      <c r="B658" s="15">
        <v>46290</v>
      </c>
      <c r="C658" t="s">
        <v>1337</v>
      </c>
      <c r="D658" t="s">
        <v>938</v>
      </c>
      <c r="E658" t="s">
        <v>396</v>
      </c>
      <c r="F658" t="s">
        <v>1086</v>
      </c>
      <c r="G658" t="s">
        <v>1082</v>
      </c>
      <c r="H658" s="16">
        <v>7</v>
      </c>
      <c r="I658" t="s">
        <v>53</v>
      </c>
      <c r="J658" s="16">
        <v>4</v>
      </c>
    </row>
    <row r="659" spans="1:10">
      <c r="A659" t="s">
        <v>1746</v>
      </c>
      <c r="B659" s="15">
        <v>46220</v>
      </c>
      <c r="C659" t="s">
        <v>1337</v>
      </c>
      <c r="D659" t="s">
        <v>787</v>
      </c>
      <c r="E659" t="s">
        <v>231</v>
      </c>
      <c r="F659" t="s">
        <v>1081</v>
      </c>
      <c r="G659" t="s">
        <v>1091</v>
      </c>
      <c r="H659" s="16">
        <v>5</v>
      </c>
      <c r="I659" t="s">
        <v>53</v>
      </c>
      <c r="J659" s="16">
        <v>1</v>
      </c>
    </row>
    <row r="660" spans="1:10">
      <c r="A660" t="s">
        <v>1747</v>
      </c>
      <c r="B660" s="15">
        <v>46288</v>
      </c>
      <c r="C660" t="s">
        <v>1337</v>
      </c>
      <c r="D660" t="s">
        <v>731</v>
      </c>
      <c r="E660" t="s">
        <v>37</v>
      </c>
      <c r="F660" t="s">
        <v>1081</v>
      </c>
      <c r="G660" t="s">
        <v>1091</v>
      </c>
      <c r="H660" s="16">
        <v>6</v>
      </c>
      <c r="I660" t="s">
        <v>53</v>
      </c>
      <c r="J660" s="16">
        <v>2</v>
      </c>
    </row>
    <row r="661" spans="1:10">
      <c r="A661" t="s">
        <v>1748</v>
      </c>
      <c r="B661" s="15">
        <v>46229</v>
      </c>
      <c r="C661" t="s">
        <v>1337</v>
      </c>
      <c r="D661" t="s">
        <v>970</v>
      </c>
      <c r="E661" t="s">
        <v>396</v>
      </c>
      <c r="F661" t="s">
        <v>1086</v>
      </c>
      <c r="G661" t="s">
        <v>1097</v>
      </c>
      <c r="H661" s="16">
        <v>6</v>
      </c>
      <c r="I661" t="s">
        <v>53</v>
      </c>
      <c r="J661" s="16">
        <v>2</v>
      </c>
    </row>
    <row r="662" spans="1:10">
      <c r="A662" t="s">
        <v>1749</v>
      </c>
      <c r="B662" s="15">
        <v>46205</v>
      </c>
      <c r="C662" t="s">
        <v>1337</v>
      </c>
      <c r="D662" t="s">
        <v>710</v>
      </c>
      <c r="E662" t="s">
        <v>37</v>
      </c>
      <c r="F662" t="s">
        <v>1084</v>
      </c>
      <c r="G662" t="s">
        <v>1091</v>
      </c>
      <c r="H662" s="16">
        <v>4</v>
      </c>
      <c r="I662" t="s">
        <v>53</v>
      </c>
      <c r="J662" s="16">
        <v>3</v>
      </c>
    </row>
    <row r="663" spans="1:10">
      <c r="A663" t="s">
        <v>1750</v>
      </c>
      <c r="B663" s="15">
        <v>46242</v>
      </c>
      <c r="C663" t="s">
        <v>1337</v>
      </c>
      <c r="D663" t="s">
        <v>874</v>
      </c>
      <c r="E663" t="s">
        <v>231</v>
      </c>
      <c r="F663" t="s">
        <v>1084</v>
      </c>
      <c r="G663" t="s">
        <v>1082</v>
      </c>
      <c r="H663" s="16">
        <v>5</v>
      </c>
      <c r="I663" t="s">
        <v>53</v>
      </c>
      <c r="J663" s="16">
        <v>4</v>
      </c>
    </row>
    <row r="664" spans="1:10">
      <c r="A664" t="s">
        <v>1751</v>
      </c>
      <c r="B664" s="15">
        <v>46206</v>
      </c>
      <c r="C664" t="s">
        <v>1337</v>
      </c>
      <c r="D664" t="s">
        <v>683</v>
      </c>
      <c r="E664" t="s">
        <v>37</v>
      </c>
      <c r="F664" t="s">
        <v>1081</v>
      </c>
      <c r="G664" t="s">
        <v>1091</v>
      </c>
      <c r="H664" s="16">
        <v>7</v>
      </c>
      <c r="I664" t="s">
        <v>53</v>
      </c>
      <c r="J664" s="16">
        <v>2</v>
      </c>
    </row>
    <row r="665" spans="1:10">
      <c r="A665" t="s">
        <v>1752</v>
      </c>
      <c r="B665" s="15">
        <v>46247</v>
      </c>
      <c r="C665" t="s">
        <v>1337</v>
      </c>
      <c r="D665" t="s">
        <v>543</v>
      </c>
      <c r="E665" t="s">
        <v>37</v>
      </c>
      <c r="F665" t="s">
        <v>1086</v>
      </c>
      <c r="G665" t="s">
        <v>1093</v>
      </c>
      <c r="H665" s="16">
        <v>4</v>
      </c>
      <c r="I665" t="s">
        <v>53</v>
      </c>
      <c r="J665" s="16">
        <v>2</v>
      </c>
    </row>
    <row r="666" spans="1:10">
      <c r="A666" t="s">
        <v>1753</v>
      </c>
      <c r="B666" s="15">
        <v>46220</v>
      </c>
      <c r="C666" t="s">
        <v>1337</v>
      </c>
      <c r="D666" t="s">
        <v>545</v>
      </c>
      <c r="E666" t="s">
        <v>37</v>
      </c>
      <c r="F666" t="s">
        <v>1090</v>
      </c>
      <c r="G666" t="s">
        <v>1082</v>
      </c>
      <c r="H666" s="16">
        <v>6</v>
      </c>
      <c r="I666" t="s">
        <v>53</v>
      </c>
      <c r="J666" s="16">
        <v>3</v>
      </c>
    </row>
    <row r="667" spans="1:10">
      <c r="A667" t="s">
        <v>1754</v>
      </c>
      <c r="B667" s="15">
        <v>46250</v>
      </c>
      <c r="C667" t="s">
        <v>1337</v>
      </c>
      <c r="D667" t="s">
        <v>1005</v>
      </c>
      <c r="E667" t="s">
        <v>396</v>
      </c>
      <c r="F667" t="s">
        <v>1086</v>
      </c>
      <c r="G667" t="s">
        <v>1093</v>
      </c>
      <c r="H667" s="16">
        <v>8</v>
      </c>
      <c r="I667" t="s">
        <v>53</v>
      </c>
      <c r="J667" s="16">
        <v>4</v>
      </c>
    </row>
    <row r="668" spans="1:10">
      <c r="A668" t="s">
        <v>1755</v>
      </c>
      <c r="B668" s="15">
        <v>46204</v>
      </c>
      <c r="C668" t="s">
        <v>1337</v>
      </c>
      <c r="D668" t="s">
        <v>970</v>
      </c>
      <c r="E668" t="s">
        <v>396</v>
      </c>
      <c r="F668" t="s">
        <v>1086</v>
      </c>
      <c r="G668" t="s">
        <v>1093</v>
      </c>
      <c r="H668" s="16">
        <v>7</v>
      </c>
      <c r="I668" t="s">
        <v>53</v>
      </c>
      <c r="J668" s="16">
        <v>4</v>
      </c>
    </row>
    <row r="669" spans="1:10">
      <c r="A669" t="s">
        <v>1756</v>
      </c>
      <c r="B669" s="15">
        <v>46220</v>
      </c>
      <c r="C669" t="s">
        <v>1337</v>
      </c>
      <c r="D669" t="s">
        <v>890</v>
      </c>
      <c r="E669" t="s">
        <v>231</v>
      </c>
      <c r="F669" t="s">
        <v>1084</v>
      </c>
      <c r="G669" t="s">
        <v>1093</v>
      </c>
      <c r="H669" s="16">
        <v>6</v>
      </c>
      <c r="I669" t="s">
        <v>53</v>
      </c>
      <c r="J669" s="16">
        <v>2</v>
      </c>
    </row>
    <row r="670" spans="1:10">
      <c r="A670" t="s">
        <v>1757</v>
      </c>
      <c r="B670" s="15">
        <v>46222</v>
      </c>
      <c r="C670" t="s">
        <v>1337</v>
      </c>
      <c r="D670" t="s">
        <v>811</v>
      </c>
      <c r="E670" t="s">
        <v>231</v>
      </c>
      <c r="F670" t="s">
        <v>1090</v>
      </c>
      <c r="G670" t="s">
        <v>1082</v>
      </c>
      <c r="H670" s="16">
        <v>8</v>
      </c>
      <c r="I670" t="s">
        <v>41</v>
      </c>
      <c r="J670" s="16">
        <v>1</v>
      </c>
    </row>
    <row r="671" spans="1:10">
      <c r="A671" t="s">
        <v>1758</v>
      </c>
      <c r="B671" s="15">
        <v>46245</v>
      </c>
      <c r="C671" t="s">
        <v>1337</v>
      </c>
      <c r="D671" t="s">
        <v>679</v>
      </c>
      <c r="E671" t="s">
        <v>37</v>
      </c>
      <c r="F671" t="s">
        <v>1090</v>
      </c>
      <c r="G671" t="s">
        <v>1082</v>
      </c>
      <c r="H671" s="16">
        <v>7</v>
      </c>
      <c r="I671" t="s">
        <v>41</v>
      </c>
      <c r="J671" s="16">
        <v>3</v>
      </c>
    </row>
    <row r="672" spans="1:10">
      <c r="A672" t="s">
        <v>1759</v>
      </c>
      <c r="B672" s="15">
        <v>46237</v>
      </c>
      <c r="C672" t="s">
        <v>1337</v>
      </c>
      <c r="D672" t="s">
        <v>560</v>
      </c>
      <c r="E672" t="s">
        <v>37</v>
      </c>
      <c r="F672" t="s">
        <v>1090</v>
      </c>
      <c r="G672" t="s">
        <v>1082</v>
      </c>
      <c r="H672" s="16">
        <v>5</v>
      </c>
      <c r="I672" t="s">
        <v>53</v>
      </c>
      <c r="J672" s="16">
        <v>1</v>
      </c>
    </row>
    <row r="673" spans="1:10">
      <c r="A673" t="s">
        <v>1760</v>
      </c>
      <c r="B673" s="15">
        <v>46222</v>
      </c>
      <c r="C673" t="s">
        <v>1337</v>
      </c>
      <c r="D673" t="s">
        <v>664</v>
      </c>
      <c r="E673" t="s">
        <v>37</v>
      </c>
      <c r="F673" t="s">
        <v>1090</v>
      </c>
      <c r="G673" t="s">
        <v>1093</v>
      </c>
      <c r="H673" s="16">
        <v>12</v>
      </c>
      <c r="I673" t="s">
        <v>53</v>
      </c>
      <c r="J673" s="16">
        <v>1</v>
      </c>
    </row>
    <row r="674" spans="1:10">
      <c r="A674" t="s">
        <v>1761</v>
      </c>
      <c r="B674" s="15">
        <v>46275</v>
      </c>
      <c r="C674" t="s">
        <v>1337</v>
      </c>
      <c r="D674" t="s">
        <v>667</v>
      </c>
      <c r="E674" t="s">
        <v>37</v>
      </c>
      <c r="F674" t="s">
        <v>1081</v>
      </c>
      <c r="G674" t="s">
        <v>1097</v>
      </c>
      <c r="H674" s="16">
        <v>4</v>
      </c>
      <c r="I674" t="s">
        <v>53</v>
      </c>
      <c r="J674" s="16">
        <v>2</v>
      </c>
    </row>
    <row r="675" spans="1:10">
      <c r="A675" t="s">
        <v>1762</v>
      </c>
      <c r="B675" s="15">
        <v>46211</v>
      </c>
      <c r="C675" t="s">
        <v>1337</v>
      </c>
      <c r="D675" t="s">
        <v>654</v>
      </c>
      <c r="E675" t="s">
        <v>37</v>
      </c>
      <c r="F675" t="s">
        <v>1086</v>
      </c>
      <c r="G675" t="s">
        <v>1082</v>
      </c>
      <c r="H675" s="16">
        <v>8</v>
      </c>
      <c r="I675" t="s">
        <v>53</v>
      </c>
      <c r="J675" s="16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workbookViewId="0"/>
  </sheetViews>
  <sheetFormatPr defaultRowHeight="14.25"/>
  <cols>
    <col min="1" max="1" width="16.75" customWidth="1"/>
    <col min="2" max="2" width="8.625" customWidth="1"/>
    <col min="3" max="3" width="10.625" customWidth="1"/>
    <col min="4" max="4" width="12" customWidth="1"/>
    <col min="5" max="5" width="16.5" customWidth="1"/>
    <col min="6" max="6" width="10.625" customWidth="1"/>
    <col min="7" max="7" width="15.25" customWidth="1"/>
    <col min="8" max="8" width="18.75" customWidth="1"/>
    <col min="9" max="9" width="23.375" customWidth="1"/>
    <col min="10" max="10" width="24.375" customWidth="1"/>
    <col min="11" max="11" width="7.375" customWidth="1"/>
    <col min="12" max="12" width="14.5" customWidth="1"/>
  </cols>
  <sheetData>
    <row r="1" spans="1:12" ht="30">
      <c r="A1" s="7" t="s">
        <v>1763</v>
      </c>
      <c r="B1" s="7" t="s">
        <v>19</v>
      </c>
      <c r="C1" s="7" t="s">
        <v>1764</v>
      </c>
      <c r="D1" s="7" t="s">
        <v>20</v>
      </c>
      <c r="E1" s="7" t="s">
        <v>1765</v>
      </c>
      <c r="F1" s="7" t="s">
        <v>1766</v>
      </c>
      <c r="G1" s="7" t="s">
        <v>1767</v>
      </c>
      <c r="H1" s="7" t="s">
        <v>1768</v>
      </c>
      <c r="I1" s="7" t="s">
        <v>1769</v>
      </c>
      <c r="J1" s="7" t="s">
        <v>1770</v>
      </c>
      <c r="K1" s="7" t="s">
        <v>1771</v>
      </c>
      <c r="L1" s="7" t="s">
        <v>1772</v>
      </c>
    </row>
    <row r="2" spans="1:12">
      <c r="A2" t="s">
        <v>1773</v>
      </c>
      <c r="B2" t="s">
        <v>36</v>
      </c>
      <c r="C2" t="s">
        <v>1774</v>
      </c>
      <c r="D2" t="s">
        <v>37</v>
      </c>
      <c r="E2" t="s">
        <v>1775</v>
      </c>
      <c r="F2">
        <v>4.2</v>
      </c>
      <c r="G2" s="5">
        <v>28000</v>
      </c>
      <c r="H2">
        <v>3</v>
      </c>
      <c r="I2">
        <v>2</v>
      </c>
      <c r="J2">
        <v>30</v>
      </c>
      <c r="K2" t="s">
        <v>41</v>
      </c>
    </row>
    <row r="3" spans="1:12">
      <c r="A3" t="s">
        <v>1776</v>
      </c>
      <c r="B3" t="s">
        <v>36</v>
      </c>
      <c r="C3" t="s">
        <v>1777</v>
      </c>
      <c r="D3" t="s">
        <v>37</v>
      </c>
      <c r="E3" t="s">
        <v>1778</v>
      </c>
      <c r="F3">
        <v>2.1</v>
      </c>
      <c r="G3" s="5">
        <v>40000</v>
      </c>
      <c r="H3">
        <v>3</v>
      </c>
      <c r="I3">
        <v>8.6</v>
      </c>
      <c r="J3">
        <v>21</v>
      </c>
      <c r="K3" t="s">
        <v>53</v>
      </c>
      <c r="L3" t="s">
        <v>1779</v>
      </c>
    </row>
    <row r="4" spans="1:12">
      <c r="A4" t="s">
        <v>1780</v>
      </c>
      <c r="B4" t="s">
        <v>36</v>
      </c>
      <c r="C4" t="s">
        <v>1781</v>
      </c>
      <c r="D4" t="s">
        <v>37</v>
      </c>
      <c r="E4" t="s">
        <v>1775</v>
      </c>
      <c r="F4">
        <v>6.9</v>
      </c>
      <c r="G4" s="5">
        <v>47000</v>
      </c>
      <c r="H4">
        <v>3</v>
      </c>
      <c r="I4">
        <v>1.5</v>
      </c>
      <c r="J4">
        <v>3</v>
      </c>
      <c r="K4" t="s">
        <v>41</v>
      </c>
    </row>
    <row r="5" spans="1:12">
      <c r="A5" t="s">
        <v>1782</v>
      </c>
      <c r="B5" t="s">
        <v>36</v>
      </c>
      <c r="C5" t="s">
        <v>1783</v>
      </c>
      <c r="D5" t="s">
        <v>37</v>
      </c>
      <c r="E5" t="s">
        <v>1784</v>
      </c>
      <c r="F5">
        <v>3.1</v>
      </c>
      <c r="G5" s="5">
        <v>41000</v>
      </c>
      <c r="H5">
        <v>4</v>
      </c>
      <c r="I5">
        <v>5.5</v>
      </c>
      <c r="J5">
        <v>27</v>
      </c>
      <c r="K5" t="s">
        <v>41</v>
      </c>
    </row>
    <row r="6" spans="1:12">
      <c r="A6" t="s">
        <v>1785</v>
      </c>
      <c r="B6" t="s">
        <v>36</v>
      </c>
      <c r="C6" t="s">
        <v>1786</v>
      </c>
      <c r="D6" t="s">
        <v>37</v>
      </c>
      <c r="E6" t="s">
        <v>1775</v>
      </c>
      <c r="F6">
        <v>3.1</v>
      </c>
      <c r="G6" s="5">
        <v>49000</v>
      </c>
      <c r="H6">
        <v>5</v>
      </c>
      <c r="I6">
        <v>1.5</v>
      </c>
      <c r="J6">
        <v>17</v>
      </c>
      <c r="K6" t="s">
        <v>41</v>
      </c>
    </row>
    <row r="7" spans="1:12">
      <c r="A7" t="s">
        <v>1787</v>
      </c>
      <c r="B7" t="s">
        <v>36</v>
      </c>
      <c r="C7" t="s">
        <v>1788</v>
      </c>
      <c r="D7" t="s">
        <v>37</v>
      </c>
      <c r="E7" t="s">
        <v>1784</v>
      </c>
      <c r="F7">
        <v>6.4</v>
      </c>
      <c r="G7" s="5">
        <v>30000</v>
      </c>
      <c r="H7">
        <v>3</v>
      </c>
      <c r="I7">
        <v>13.6</v>
      </c>
      <c r="J7">
        <v>24</v>
      </c>
      <c r="K7" t="s">
        <v>53</v>
      </c>
      <c r="L7" t="s">
        <v>1789</v>
      </c>
    </row>
    <row r="8" spans="1:12">
      <c r="A8" t="s">
        <v>1790</v>
      </c>
      <c r="B8" t="s">
        <v>36</v>
      </c>
      <c r="C8" t="s">
        <v>1791</v>
      </c>
      <c r="D8" t="s">
        <v>37</v>
      </c>
      <c r="E8" t="s">
        <v>1778</v>
      </c>
      <c r="F8">
        <v>4.4000000000000004</v>
      </c>
      <c r="G8" s="5">
        <v>29000</v>
      </c>
      <c r="H8">
        <v>4</v>
      </c>
      <c r="I8">
        <v>4.5</v>
      </c>
      <c r="J8">
        <v>6</v>
      </c>
      <c r="K8" t="s">
        <v>41</v>
      </c>
    </row>
    <row r="9" spans="1:12">
      <c r="A9" t="s">
        <v>1792</v>
      </c>
      <c r="B9" t="s">
        <v>36</v>
      </c>
      <c r="C9" t="s">
        <v>1793</v>
      </c>
      <c r="D9" t="s">
        <v>37</v>
      </c>
      <c r="E9" t="s">
        <v>1778</v>
      </c>
      <c r="F9">
        <v>6.1</v>
      </c>
      <c r="G9" s="5">
        <v>48000</v>
      </c>
      <c r="H9">
        <v>5</v>
      </c>
      <c r="I9">
        <v>2</v>
      </c>
      <c r="J9">
        <v>9</v>
      </c>
      <c r="K9" t="s">
        <v>41</v>
      </c>
    </row>
    <row r="10" spans="1:12">
      <c r="A10" t="s">
        <v>1794</v>
      </c>
      <c r="B10" t="s">
        <v>36</v>
      </c>
      <c r="C10" t="s">
        <v>1795</v>
      </c>
      <c r="D10" t="s">
        <v>37</v>
      </c>
      <c r="E10" t="s">
        <v>1784</v>
      </c>
      <c r="F10">
        <v>2.4</v>
      </c>
      <c r="G10" s="5">
        <v>27000</v>
      </c>
      <c r="H10">
        <v>5</v>
      </c>
      <c r="I10">
        <v>2.8</v>
      </c>
      <c r="J10">
        <v>17</v>
      </c>
      <c r="K10" t="s">
        <v>41</v>
      </c>
    </row>
    <row r="11" spans="1:12">
      <c r="A11" t="s">
        <v>1796</v>
      </c>
      <c r="B11" t="s">
        <v>36</v>
      </c>
      <c r="C11" t="s">
        <v>1797</v>
      </c>
      <c r="D11" t="s">
        <v>37</v>
      </c>
      <c r="E11" t="s">
        <v>1778</v>
      </c>
      <c r="F11">
        <v>4.3</v>
      </c>
      <c r="G11" s="5">
        <v>55000</v>
      </c>
      <c r="H11">
        <v>4</v>
      </c>
      <c r="I11">
        <v>2.2999999999999998</v>
      </c>
      <c r="J11">
        <v>19</v>
      </c>
      <c r="K11" t="s">
        <v>41</v>
      </c>
    </row>
    <row r="12" spans="1:12">
      <c r="A12" t="s">
        <v>1798</v>
      </c>
      <c r="B12" t="s">
        <v>36</v>
      </c>
      <c r="C12" t="s">
        <v>1799</v>
      </c>
      <c r="D12" t="s">
        <v>37</v>
      </c>
      <c r="E12" t="s">
        <v>1775</v>
      </c>
      <c r="F12">
        <v>3.6</v>
      </c>
      <c r="G12" s="5">
        <v>31000</v>
      </c>
      <c r="H12">
        <v>3</v>
      </c>
      <c r="I12">
        <v>7.5</v>
      </c>
      <c r="J12">
        <v>24</v>
      </c>
      <c r="K12" t="s">
        <v>41</v>
      </c>
    </row>
    <row r="13" spans="1:12">
      <c r="A13" t="s">
        <v>1800</v>
      </c>
      <c r="B13" t="s">
        <v>36</v>
      </c>
      <c r="C13" t="s">
        <v>1801</v>
      </c>
      <c r="D13" t="s">
        <v>37</v>
      </c>
      <c r="E13" t="s">
        <v>1778</v>
      </c>
      <c r="F13">
        <v>7.3</v>
      </c>
      <c r="G13" s="5">
        <v>25000</v>
      </c>
      <c r="H13">
        <v>5</v>
      </c>
      <c r="I13">
        <v>1.2</v>
      </c>
      <c r="J13">
        <v>26</v>
      </c>
      <c r="K13" t="s">
        <v>41</v>
      </c>
    </row>
    <row r="14" spans="1:12">
      <c r="A14" t="s">
        <v>1802</v>
      </c>
      <c r="B14" t="s">
        <v>36</v>
      </c>
      <c r="C14" t="s">
        <v>1803</v>
      </c>
      <c r="D14" t="s">
        <v>37</v>
      </c>
      <c r="E14" t="s">
        <v>1778</v>
      </c>
      <c r="F14">
        <v>3.4</v>
      </c>
      <c r="G14" s="5">
        <v>28000</v>
      </c>
      <c r="H14">
        <v>4</v>
      </c>
      <c r="I14">
        <v>1.7</v>
      </c>
      <c r="J14">
        <v>19</v>
      </c>
      <c r="K14" t="s">
        <v>41</v>
      </c>
    </row>
    <row r="15" spans="1:12">
      <c r="A15" t="s">
        <v>1804</v>
      </c>
      <c r="B15" t="s">
        <v>36</v>
      </c>
      <c r="C15" t="s">
        <v>1805</v>
      </c>
      <c r="D15" t="s">
        <v>37</v>
      </c>
      <c r="E15" t="s">
        <v>1806</v>
      </c>
      <c r="F15">
        <v>2.8</v>
      </c>
      <c r="G15" s="5">
        <v>25000</v>
      </c>
      <c r="H15">
        <v>3</v>
      </c>
      <c r="I15">
        <v>1.4</v>
      </c>
      <c r="J15">
        <v>25</v>
      </c>
      <c r="K15" t="s">
        <v>41</v>
      </c>
    </row>
    <row r="16" spans="1:12">
      <c r="A16" t="s">
        <v>1807</v>
      </c>
      <c r="B16" t="s">
        <v>36</v>
      </c>
      <c r="C16" t="s">
        <v>1808</v>
      </c>
      <c r="D16" t="s">
        <v>37</v>
      </c>
      <c r="E16" t="s">
        <v>1775</v>
      </c>
      <c r="F16">
        <v>3.9</v>
      </c>
      <c r="G16" s="5">
        <v>34000</v>
      </c>
      <c r="H16">
        <v>4</v>
      </c>
      <c r="I16">
        <v>3.9</v>
      </c>
      <c r="J16">
        <v>19</v>
      </c>
      <c r="K16" t="s">
        <v>41</v>
      </c>
    </row>
    <row r="17" spans="1:12">
      <c r="A17" t="s">
        <v>1809</v>
      </c>
      <c r="B17" t="s">
        <v>36</v>
      </c>
      <c r="C17" t="s">
        <v>1810</v>
      </c>
      <c r="D17" t="s">
        <v>37</v>
      </c>
      <c r="E17" t="s">
        <v>1806</v>
      </c>
      <c r="F17">
        <v>0.7</v>
      </c>
      <c r="G17" s="5">
        <v>58000</v>
      </c>
      <c r="H17">
        <v>4</v>
      </c>
      <c r="I17">
        <v>2.4</v>
      </c>
      <c r="J17">
        <v>25</v>
      </c>
      <c r="K17" t="s">
        <v>41</v>
      </c>
    </row>
    <row r="18" spans="1:12">
      <c r="A18" t="s">
        <v>1811</v>
      </c>
      <c r="B18" t="s">
        <v>36</v>
      </c>
      <c r="C18" t="s">
        <v>1812</v>
      </c>
      <c r="D18" t="s">
        <v>37</v>
      </c>
      <c r="E18" t="s">
        <v>1775</v>
      </c>
      <c r="F18">
        <v>3.6</v>
      </c>
      <c r="G18" s="5">
        <v>49000</v>
      </c>
      <c r="H18">
        <v>4</v>
      </c>
      <c r="I18">
        <v>2.5</v>
      </c>
      <c r="J18">
        <v>20</v>
      </c>
      <c r="K18" t="s">
        <v>41</v>
      </c>
    </row>
    <row r="19" spans="1:12">
      <c r="A19" t="s">
        <v>1813</v>
      </c>
      <c r="B19" t="s">
        <v>36</v>
      </c>
      <c r="C19" t="s">
        <v>1814</v>
      </c>
      <c r="D19" t="s">
        <v>37</v>
      </c>
      <c r="E19" t="s">
        <v>1806</v>
      </c>
      <c r="F19">
        <v>1.3</v>
      </c>
      <c r="G19" s="5">
        <v>22000</v>
      </c>
      <c r="H19">
        <v>5</v>
      </c>
      <c r="I19">
        <v>3</v>
      </c>
      <c r="J19">
        <v>3</v>
      </c>
      <c r="K19" t="s">
        <v>41</v>
      </c>
    </row>
    <row r="20" spans="1:12">
      <c r="A20" t="s">
        <v>1815</v>
      </c>
      <c r="B20" t="s">
        <v>36</v>
      </c>
      <c r="C20" t="s">
        <v>1816</v>
      </c>
      <c r="D20" t="s">
        <v>37</v>
      </c>
      <c r="E20" t="s">
        <v>1806</v>
      </c>
      <c r="F20">
        <v>4.7</v>
      </c>
      <c r="G20" s="5">
        <v>32000</v>
      </c>
      <c r="H20">
        <v>4</v>
      </c>
      <c r="I20">
        <v>2.6</v>
      </c>
      <c r="J20">
        <v>24</v>
      </c>
      <c r="K20" t="s">
        <v>41</v>
      </c>
    </row>
    <row r="21" spans="1:12">
      <c r="A21" t="s">
        <v>1817</v>
      </c>
      <c r="B21" t="s">
        <v>36</v>
      </c>
      <c r="C21" t="s">
        <v>1818</v>
      </c>
      <c r="D21" t="s">
        <v>37</v>
      </c>
      <c r="E21" t="s">
        <v>1784</v>
      </c>
      <c r="F21">
        <v>6.7</v>
      </c>
      <c r="G21" s="5">
        <v>49000</v>
      </c>
      <c r="H21">
        <v>4</v>
      </c>
      <c r="I21">
        <v>8.4</v>
      </c>
      <c r="J21">
        <v>29</v>
      </c>
      <c r="K21" t="s">
        <v>41</v>
      </c>
    </row>
    <row r="22" spans="1:12">
      <c r="A22" t="s">
        <v>1819</v>
      </c>
      <c r="B22" t="s">
        <v>36</v>
      </c>
      <c r="C22" t="s">
        <v>1820</v>
      </c>
      <c r="D22" t="s">
        <v>37</v>
      </c>
      <c r="E22" t="s">
        <v>1778</v>
      </c>
      <c r="F22">
        <v>4.2</v>
      </c>
      <c r="G22" s="5">
        <v>30000</v>
      </c>
      <c r="H22">
        <v>3</v>
      </c>
      <c r="I22">
        <v>1.6</v>
      </c>
      <c r="J22">
        <v>21</v>
      </c>
      <c r="K22" t="s">
        <v>41</v>
      </c>
    </row>
    <row r="23" spans="1:12">
      <c r="A23" t="s">
        <v>1821</v>
      </c>
      <c r="B23" t="s">
        <v>36</v>
      </c>
      <c r="C23" t="s">
        <v>1822</v>
      </c>
      <c r="D23" t="s">
        <v>37</v>
      </c>
      <c r="E23" t="s">
        <v>1775</v>
      </c>
      <c r="F23">
        <v>3.3</v>
      </c>
      <c r="G23" s="5">
        <v>49000</v>
      </c>
      <c r="H23">
        <v>4</v>
      </c>
      <c r="I23">
        <v>1.2</v>
      </c>
      <c r="J23">
        <v>4</v>
      </c>
      <c r="K23" t="s">
        <v>41</v>
      </c>
    </row>
    <row r="24" spans="1:12">
      <c r="A24" t="s">
        <v>1823</v>
      </c>
      <c r="B24" t="s">
        <v>36</v>
      </c>
      <c r="C24" t="s">
        <v>1824</v>
      </c>
      <c r="D24" t="s">
        <v>37</v>
      </c>
      <c r="E24" t="s">
        <v>1778</v>
      </c>
      <c r="F24">
        <v>5.8</v>
      </c>
      <c r="G24" s="5">
        <v>29000</v>
      </c>
      <c r="H24">
        <v>3</v>
      </c>
      <c r="I24">
        <v>3.5</v>
      </c>
      <c r="J24">
        <v>13</v>
      </c>
      <c r="K24" t="s">
        <v>41</v>
      </c>
    </row>
    <row r="25" spans="1:12">
      <c r="A25" t="s">
        <v>1825</v>
      </c>
      <c r="B25" t="s">
        <v>36</v>
      </c>
      <c r="C25" t="s">
        <v>1826</v>
      </c>
      <c r="D25" t="s">
        <v>37</v>
      </c>
      <c r="E25" t="s">
        <v>1784</v>
      </c>
      <c r="F25">
        <v>1.4</v>
      </c>
      <c r="G25" s="5">
        <v>38000</v>
      </c>
      <c r="H25">
        <v>3</v>
      </c>
      <c r="I25">
        <v>4.5999999999999996</v>
      </c>
      <c r="J25">
        <v>18</v>
      </c>
      <c r="K25" t="s">
        <v>41</v>
      </c>
    </row>
    <row r="26" spans="1:12">
      <c r="A26" t="s">
        <v>1827</v>
      </c>
      <c r="B26" t="s">
        <v>36</v>
      </c>
      <c r="C26" t="s">
        <v>1828</v>
      </c>
      <c r="D26" t="s">
        <v>37</v>
      </c>
      <c r="E26" t="s">
        <v>1775</v>
      </c>
      <c r="F26">
        <v>4.5999999999999996</v>
      </c>
      <c r="G26" s="5">
        <v>56000</v>
      </c>
      <c r="H26">
        <v>3</v>
      </c>
      <c r="I26">
        <v>1.2</v>
      </c>
      <c r="J26">
        <v>23</v>
      </c>
      <c r="K26" t="s">
        <v>41</v>
      </c>
    </row>
    <row r="27" spans="1:12">
      <c r="A27" t="s">
        <v>1829</v>
      </c>
      <c r="B27" t="s">
        <v>36</v>
      </c>
      <c r="C27" t="s">
        <v>1830</v>
      </c>
      <c r="D27" t="s">
        <v>37</v>
      </c>
      <c r="E27" t="s">
        <v>1775</v>
      </c>
      <c r="F27">
        <v>4.5</v>
      </c>
      <c r="G27" s="5">
        <v>42000</v>
      </c>
      <c r="H27">
        <v>5</v>
      </c>
      <c r="I27">
        <v>1.5</v>
      </c>
      <c r="J27">
        <v>25</v>
      </c>
      <c r="K27" t="s">
        <v>41</v>
      </c>
    </row>
    <row r="28" spans="1:12">
      <c r="A28" t="s">
        <v>1831</v>
      </c>
      <c r="B28" t="s">
        <v>36</v>
      </c>
      <c r="C28" t="s">
        <v>1832</v>
      </c>
      <c r="D28" t="s">
        <v>37</v>
      </c>
      <c r="E28" t="s">
        <v>1778</v>
      </c>
      <c r="F28">
        <v>2.7</v>
      </c>
      <c r="G28" s="5">
        <v>33000</v>
      </c>
      <c r="H28">
        <v>3</v>
      </c>
      <c r="I28">
        <v>11.3</v>
      </c>
      <c r="J28">
        <v>38</v>
      </c>
      <c r="K28" t="s">
        <v>53</v>
      </c>
      <c r="L28" t="s">
        <v>1779</v>
      </c>
    </row>
    <row r="29" spans="1:12">
      <c r="A29" t="s">
        <v>1833</v>
      </c>
      <c r="B29" t="s">
        <v>36</v>
      </c>
      <c r="C29" t="s">
        <v>1834</v>
      </c>
      <c r="D29" t="s">
        <v>37</v>
      </c>
      <c r="E29" t="s">
        <v>1778</v>
      </c>
      <c r="F29">
        <v>6.2</v>
      </c>
      <c r="G29" s="5">
        <v>41000</v>
      </c>
      <c r="H29">
        <v>3</v>
      </c>
      <c r="I29">
        <v>10.9</v>
      </c>
      <c r="J29">
        <v>32</v>
      </c>
      <c r="K29" t="s">
        <v>53</v>
      </c>
      <c r="L29" t="s">
        <v>1835</v>
      </c>
    </row>
    <row r="30" spans="1:12">
      <c r="A30" t="s">
        <v>1836</v>
      </c>
      <c r="B30" t="s">
        <v>36</v>
      </c>
      <c r="C30" t="s">
        <v>1837</v>
      </c>
      <c r="D30" t="s">
        <v>37</v>
      </c>
      <c r="E30" t="s">
        <v>1784</v>
      </c>
      <c r="F30">
        <v>5</v>
      </c>
      <c r="G30" s="5">
        <v>63000</v>
      </c>
      <c r="H30">
        <v>4</v>
      </c>
      <c r="I30">
        <v>8.4</v>
      </c>
      <c r="J30">
        <v>15</v>
      </c>
      <c r="K30" t="s">
        <v>41</v>
      </c>
    </row>
    <row r="31" spans="1:12">
      <c r="A31" t="s">
        <v>1838</v>
      </c>
      <c r="B31" t="s">
        <v>36</v>
      </c>
      <c r="C31" t="s">
        <v>1839</v>
      </c>
      <c r="D31" t="s">
        <v>37</v>
      </c>
      <c r="E31" t="s">
        <v>1784</v>
      </c>
      <c r="F31">
        <v>5.3</v>
      </c>
      <c r="G31" s="5">
        <v>48000</v>
      </c>
      <c r="H31">
        <v>3</v>
      </c>
      <c r="I31">
        <v>2.6</v>
      </c>
      <c r="J31">
        <v>21</v>
      </c>
      <c r="K31" t="s">
        <v>41</v>
      </c>
    </row>
    <row r="32" spans="1:12">
      <c r="A32" t="s">
        <v>1840</v>
      </c>
      <c r="B32" t="s">
        <v>36</v>
      </c>
      <c r="C32" t="s">
        <v>1841</v>
      </c>
      <c r="D32" t="s">
        <v>37</v>
      </c>
      <c r="E32" t="s">
        <v>1775</v>
      </c>
      <c r="F32">
        <v>1.2</v>
      </c>
      <c r="G32" s="5">
        <v>46000</v>
      </c>
      <c r="H32">
        <v>4</v>
      </c>
      <c r="I32">
        <v>5.8</v>
      </c>
      <c r="J32">
        <v>26</v>
      </c>
      <c r="K32" t="s">
        <v>41</v>
      </c>
    </row>
    <row r="33" spans="1:12">
      <c r="A33" t="s">
        <v>1842</v>
      </c>
      <c r="B33" t="s">
        <v>36</v>
      </c>
      <c r="C33" t="s">
        <v>1843</v>
      </c>
      <c r="D33" t="s">
        <v>37</v>
      </c>
      <c r="E33" t="s">
        <v>1775</v>
      </c>
      <c r="F33">
        <v>7.2</v>
      </c>
      <c r="G33" s="5">
        <v>53000</v>
      </c>
      <c r="H33">
        <v>3</v>
      </c>
      <c r="I33">
        <v>2.2000000000000002</v>
      </c>
      <c r="J33">
        <v>18</v>
      </c>
      <c r="K33" t="s">
        <v>41</v>
      </c>
    </row>
    <row r="34" spans="1:12">
      <c r="A34" t="s">
        <v>1844</v>
      </c>
      <c r="B34" t="s">
        <v>36</v>
      </c>
      <c r="C34" t="s">
        <v>1845</v>
      </c>
      <c r="D34" t="s">
        <v>37</v>
      </c>
      <c r="E34" t="s">
        <v>1806</v>
      </c>
      <c r="F34">
        <v>6.3</v>
      </c>
      <c r="G34" s="5">
        <v>42000</v>
      </c>
      <c r="H34">
        <v>4</v>
      </c>
      <c r="I34">
        <v>5.6</v>
      </c>
      <c r="J34">
        <v>10</v>
      </c>
      <c r="K34" t="s">
        <v>41</v>
      </c>
    </row>
    <row r="35" spans="1:12">
      <c r="A35" t="s">
        <v>1846</v>
      </c>
      <c r="B35" t="s">
        <v>36</v>
      </c>
      <c r="C35" t="s">
        <v>1847</v>
      </c>
      <c r="D35" t="s">
        <v>37</v>
      </c>
      <c r="E35" t="s">
        <v>1775</v>
      </c>
      <c r="F35">
        <v>4.5999999999999996</v>
      </c>
      <c r="G35" s="5">
        <v>29000</v>
      </c>
      <c r="H35">
        <v>4</v>
      </c>
      <c r="I35">
        <v>2.5</v>
      </c>
      <c r="J35">
        <v>26</v>
      </c>
      <c r="K35" t="s">
        <v>41</v>
      </c>
    </row>
    <row r="36" spans="1:12">
      <c r="A36" t="s">
        <v>1848</v>
      </c>
      <c r="B36" t="s">
        <v>36</v>
      </c>
      <c r="C36" t="s">
        <v>1849</v>
      </c>
      <c r="D36" t="s">
        <v>37</v>
      </c>
      <c r="E36" t="s">
        <v>1778</v>
      </c>
      <c r="F36">
        <v>5.5</v>
      </c>
      <c r="G36" s="5">
        <v>38000</v>
      </c>
      <c r="H36">
        <v>5</v>
      </c>
      <c r="I36">
        <v>4.5999999999999996</v>
      </c>
      <c r="J36">
        <v>3</v>
      </c>
      <c r="K36" t="s">
        <v>41</v>
      </c>
    </row>
    <row r="37" spans="1:12">
      <c r="A37" t="s">
        <v>1850</v>
      </c>
      <c r="B37" t="s">
        <v>36</v>
      </c>
      <c r="C37" t="s">
        <v>1851</v>
      </c>
      <c r="D37" t="s">
        <v>37</v>
      </c>
      <c r="E37" t="s">
        <v>1806</v>
      </c>
      <c r="F37">
        <v>0.7</v>
      </c>
      <c r="G37" s="5">
        <v>51000</v>
      </c>
      <c r="H37">
        <v>3</v>
      </c>
      <c r="I37">
        <v>8.1</v>
      </c>
      <c r="J37">
        <v>30</v>
      </c>
      <c r="K37" t="s">
        <v>41</v>
      </c>
    </row>
    <row r="38" spans="1:12">
      <c r="A38" t="s">
        <v>1852</v>
      </c>
      <c r="B38" t="s">
        <v>36</v>
      </c>
      <c r="C38" t="s">
        <v>1853</v>
      </c>
      <c r="D38" t="s">
        <v>37</v>
      </c>
      <c r="E38" t="s">
        <v>1806</v>
      </c>
      <c r="F38">
        <v>1.2</v>
      </c>
      <c r="G38" s="5">
        <v>48000</v>
      </c>
      <c r="H38">
        <v>3</v>
      </c>
      <c r="I38">
        <v>5.0999999999999996</v>
      </c>
      <c r="J38">
        <v>29</v>
      </c>
      <c r="K38" t="s">
        <v>41</v>
      </c>
    </row>
    <row r="39" spans="1:12">
      <c r="A39" t="s">
        <v>1854</v>
      </c>
      <c r="B39" t="s">
        <v>36</v>
      </c>
      <c r="C39" t="s">
        <v>1855</v>
      </c>
      <c r="D39" t="s">
        <v>37</v>
      </c>
      <c r="E39" t="s">
        <v>1778</v>
      </c>
      <c r="F39">
        <v>4.9000000000000004</v>
      </c>
      <c r="G39" s="5">
        <v>64000</v>
      </c>
      <c r="H39">
        <v>2</v>
      </c>
      <c r="I39">
        <v>12.7</v>
      </c>
      <c r="J39">
        <v>37</v>
      </c>
      <c r="K39" t="s">
        <v>53</v>
      </c>
      <c r="L39" t="s">
        <v>1789</v>
      </c>
    </row>
    <row r="40" spans="1:12">
      <c r="A40" t="s">
        <v>1856</v>
      </c>
      <c r="B40" t="s">
        <v>36</v>
      </c>
      <c r="C40" t="s">
        <v>1857</v>
      </c>
      <c r="D40" t="s">
        <v>37</v>
      </c>
      <c r="E40" t="s">
        <v>1778</v>
      </c>
      <c r="F40">
        <v>2.1</v>
      </c>
      <c r="G40" s="5">
        <v>65000</v>
      </c>
      <c r="H40">
        <v>3</v>
      </c>
      <c r="I40">
        <v>7.8</v>
      </c>
      <c r="J40">
        <v>31</v>
      </c>
      <c r="K40" t="s">
        <v>41</v>
      </c>
    </row>
    <row r="41" spans="1:12">
      <c r="A41" t="s">
        <v>1858</v>
      </c>
      <c r="B41" t="s">
        <v>36</v>
      </c>
      <c r="C41" t="s">
        <v>1859</v>
      </c>
      <c r="D41" t="s">
        <v>37</v>
      </c>
      <c r="E41" t="s">
        <v>1784</v>
      </c>
      <c r="F41">
        <v>6.8</v>
      </c>
      <c r="G41" s="5">
        <v>29000</v>
      </c>
      <c r="H41">
        <v>5</v>
      </c>
      <c r="I41">
        <v>5.6</v>
      </c>
      <c r="J41">
        <v>22</v>
      </c>
      <c r="K41" t="s">
        <v>41</v>
      </c>
    </row>
    <row r="42" spans="1:12">
      <c r="A42" t="s">
        <v>1860</v>
      </c>
      <c r="B42" t="s">
        <v>36</v>
      </c>
      <c r="C42" t="s">
        <v>1861</v>
      </c>
      <c r="D42" t="s">
        <v>231</v>
      </c>
      <c r="E42" t="s">
        <v>1778</v>
      </c>
      <c r="F42">
        <v>6.2</v>
      </c>
      <c r="G42" s="5">
        <v>26000</v>
      </c>
      <c r="H42">
        <v>5</v>
      </c>
      <c r="I42">
        <v>8.6999999999999993</v>
      </c>
      <c r="J42">
        <v>32</v>
      </c>
      <c r="K42" t="s">
        <v>41</v>
      </c>
    </row>
    <row r="43" spans="1:12">
      <c r="A43" t="s">
        <v>1862</v>
      </c>
      <c r="B43" t="s">
        <v>36</v>
      </c>
      <c r="C43" t="s">
        <v>1863</v>
      </c>
      <c r="D43" t="s">
        <v>231</v>
      </c>
      <c r="E43" t="s">
        <v>1864</v>
      </c>
      <c r="F43">
        <v>1.6</v>
      </c>
      <c r="G43" s="5">
        <v>29000</v>
      </c>
      <c r="H43">
        <v>4</v>
      </c>
      <c r="I43">
        <v>13.2</v>
      </c>
      <c r="J43">
        <v>25</v>
      </c>
      <c r="K43" t="s">
        <v>53</v>
      </c>
      <c r="L43" t="s">
        <v>1865</v>
      </c>
    </row>
    <row r="44" spans="1:12">
      <c r="A44" t="s">
        <v>1866</v>
      </c>
      <c r="B44" t="s">
        <v>36</v>
      </c>
      <c r="C44" t="s">
        <v>1867</v>
      </c>
      <c r="D44" t="s">
        <v>231</v>
      </c>
      <c r="E44" t="s">
        <v>1864</v>
      </c>
      <c r="F44">
        <v>4.5</v>
      </c>
      <c r="G44" s="5">
        <v>50000</v>
      </c>
      <c r="H44">
        <v>4</v>
      </c>
      <c r="I44">
        <v>5.2</v>
      </c>
      <c r="J44">
        <v>26</v>
      </c>
      <c r="K44" t="s">
        <v>41</v>
      </c>
    </row>
    <row r="45" spans="1:12">
      <c r="A45" t="s">
        <v>1868</v>
      </c>
      <c r="B45" t="s">
        <v>36</v>
      </c>
      <c r="C45" t="s">
        <v>1869</v>
      </c>
      <c r="D45" t="s">
        <v>231</v>
      </c>
      <c r="E45" t="s">
        <v>1778</v>
      </c>
      <c r="F45">
        <v>4.3</v>
      </c>
      <c r="G45" s="5">
        <v>25000</v>
      </c>
      <c r="H45">
        <v>5</v>
      </c>
      <c r="I45">
        <v>4</v>
      </c>
      <c r="J45">
        <v>32</v>
      </c>
      <c r="K45" t="s">
        <v>41</v>
      </c>
    </row>
    <row r="46" spans="1:12">
      <c r="A46" t="s">
        <v>1870</v>
      </c>
      <c r="B46" t="s">
        <v>36</v>
      </c>
      <c r="C46" t="s">
        <v>1871</v>
      </c>
      <c r="D46" t="s">
        <v>231</v>
      </c>
      <c r="E46" t="s">
        <v>1784</v>
      </c>
      <c r="F46">
        <v>3.8</v>
      </c>
      <c r="G46" s="5">
        <v>52000</v>
      </c>
      <c r="H46">
        <v>3</v>
      </c>
      <c r="I46">
        <v>3.1</v>
      </c>
      <c r="J46">
        <v>4</v>
      </c>
      <c r="K46" t="s">
        <v>41</v>
      </c>
    </row>
    <row r="47" spans="1:12">
      <c r="A47" t="s">
        <v>1872</v>
      </c>
      <c r="B47" t="s">
        <v>36</v>
      </c>
      <c r="C47" t="s">
        <v>1873</v>
      </c>
      <c r="D47" t="s">
        <v>231</v>
      </c>
      <c r="E47" t="s">
        <v>1864</v>
      </c>
      <c r="F47">
        <v>3.2</v>
      </c>
      <c r="G47" s="5">
        <v>27000</v>
      </c>
      <c r="H47">
        <v>2</v>
      </c>
      <c r="I47">
        <v>12.6</v>
      </c>
      <c r="J47">
        <v>21</v>
      </c>
      <c r="K47" t="s">
        <v>53</v>
      </c>
      <c r="L47" t="s">
        <v>1789</v>
      </c>
    </row>
    <row r="48" spans="1:12">
      <c r="A48" t="s">
        <v>1874</v>
      </c>
      <c r="B48" t="s">
        <v>36</v>
      </c>
      <c r="C48" t="s">
        <v>1875</v>
      </c>
      <c r="D48" t="s">
        <v>231</v>
      </c>
      <c r="E48" t="s">
        <v>1778</v>
      </c>
      <c r="F48">
        <v>7</v>
      </c>
      <c r="G48" s="5">
        <v>54000</v>
      </c>
      <c r="H48">
        <v>5</v>
      </c>
      <c r="I48">
        <v>4.2</v>
      </c>
      <c r="J48">
        <v>27</v>
      </c>
      <c r="K48" t="s">
        <v>41</v>
      </c>
    </row>
    <row r="49" spans="1:11">
      <c r="A49" t="s">
        <v>1876</v>
      </c>
      <c r="B49" t="s">
        <v>36</v>
      </c>
      <c r="C49" t="s">
        <v>1877</v>
      </c>
      <c r="D49" t="s">
        <v>231</v>
      </c>
      <c r="E49" t="s">
        <v>1775</v>
      </c>
      <c r="F49">
        <v>6</v>
      </c>
      <c r="G49" s="5">
        <v>60000</v>
      </c>
      <c r="H49">
        <v>4</v>
      </c>
      <c r="I49">
        <v>6.4</v>
      </c>
      <c r="J49">
        <v>21</v>
      </c>
      <c r="K49" t="s">
        <v>41</v>
      </c>
    </row>
    <row r="50" spans="1:11">
      <c r="A50" t="s">
        <v>1878</v>
      </c>
      <c r="B50" t="s">
        <v>36</v>
      </c>
      <c r="C50" t="s">
        <v>1879</v>
      </c>
      <c r="D50" t="s">
        <v>231</v>
      </c>
      <c r="E50" t="s">
        <v>1864</v>
      </c>
      <c r="F50">
        <v>3.7</v>
      </c>
      <c r="G50" s="5">
        <v>47000</v>
      </c>
      <c r="H50">
        <v>4</v>
      </c>
      <c r="I50">
        <v>5.5</v>
      </c>
      <c r="J50">
        <v>19</v>
      </c>
      <c r="K50" t="s">
        <v>41</v>
      </c>
    </row>
    <row r="51" spans="1:11">
      <c r="A51" t="s">
        <v>1880</v>
      </c>
      <c r="B51" t="s">
        <v>36</v>
      </c>
      <c r="C51" t="s">
        <v>1881</v>
      </c>
      <c r="D51" t="s">
        <v>231</v>
      </c>
      <c r="E51" t="s">
        <v>1784</v>
      </c>
      <c r="F51">
        <v>5.2</v>
      </c>
      <c r="G51" s="5">
        <v>25000</v>
      </c>
      <c r="H51">
        <v>5</v>
      </c>
      <c r="I51">
        <v>8.5</v>
      </c>
      <c r="J51">
        <v>24</v>
      </c>
      <c r="K51" t="s">
        <v>41</v>
      </c>
    </row>
    <row r="52" spans="1:11">
      <c r="A52" t="s">
        <v>1882</v>
      </c>
      <c r="B52" t="s">
        <v>36</v>
      </c>
      <c r="C52" t="s">
        <v>1883</v>
      </c>
      <c r="D52" t="s">
        <v>231</v>
      </c>
      <c r="E52" t="s">
        <v>1864</v>
      </c>
      <c r="F52">
        <v>5.5</v>
      </c>
      <c r="G52" s="5">
        <v>38000</v>
      </c>
      <c r="H52">
        <v>4</v>
      </c>
      <c r="I52">
        <v>1.3</v>
      </c>
      <c r="J52">
        <v>14</v>
      </c>
      <c r="K52" t="s">
        <v>41</v>
      </c>
    </row>
    <row r="53" spans="1:11">
      <c r="A53" t="s">
        <v>1884</v>
      </c>
      <c r="B53" t="s">
        <v>36</v>
      </c>
      <c r="C53" t="s">
        <v>1885</v>
      </c>
      <c r="D53" t="s">
        <v>231</v>
      </c>
      <c r="E53" t="s">
        <v>1778</v>
      </c>
      <c r="F53">
        <v>3</v>
      </c>
      <c r="G53" s="5">
        <v>24000</v>
      </c>
      <c r="H53">
        <v>3</v>
      </c>
      <c r="I53">
        <v>7.3</v>
      </c>
      <c r="J53">
        <v>16</v>
      </c>
      <c r="K53" t="s">
        <v>41</v>
      </c>
    </row>
    <row r="54" spans="1:11">
      <c r="A54" t="s">
        <v>1886</v>
      </c>
      <c r="B54" t="s">
        <v>36</v>
      </c>
      <c r="C54" t="s">
        <v>1887</v>
      </c>
      <c r="D54" t="s">
        <v>231</v>
      </c>
      <c r="E54" t="s">
        <v>1864</v>
      </c>
      <c r="F54">
        <v>1.7</v>
      </c>
      <c r="G54" s="5">
        <v>40000</v>
      </c>
      <c r="H54">
        <v>4</v>
      </c>
      <c r="I54">
        <v>8.1999999999999993</v>
      </c>
      <c r="J54">
        <v>23</v>
      </c>
      <c r="K54" t="s">
        <v>41</v>
      </c>
    </row>
    <row r="55" spans="1:11">
      <c r="A55" t="s">
        <v>1888</v>
      </c>
      <c r="B55" t="s">
        <v>36</v>
      </c>
      <c r="C55" t="s">
        <v>1889</v>
      </c>
      <c r="D55" t="s">
        <v>231</v>
      </c>
      <c r="E55" t="s">
        <v>1784</v>
      </c>
      <c r="F55">
        <v>3</v>
      </c>
      <c r="G55" s="5">
        <v>51000</v>
      </c>
      <c r="H55">
        <v>5</v>
      </c>
      <c r="I55">
        <v>5.5</v>
      </c>
      <c r="J55">
        <v>13</v>
      </c>
      <c r="K55" t="s">
        <v>41</v>
      </c>
    </row>
    <row r="56" spans="1:11">
      <c r="A56" t="s">
        <v>1890</v>
      </c>
      <c r="B56" t="s">
        <v>36</v>
      </c>
      <c r="C56" t="s">
        <v>1891</v>
      </c>
      <c r="D56" t="s">
        <v>231</v>
      </c>
      <c r="E56" t="s">
        <v>1784</v>
      </c>
      <c r="F56">
        <v>1.8</v>
      </c>
      <c r="G56" s="5">
        <v>62000</v>
      </c>
      <c r="H56">
        <v>5</v>
      </c>
      <c r="I56">
        <v>7.4</v>
      </c>
      <c r="J56">
        <v>28</v>
      </c>
      <c r="K56" t="s">
        <v>41</v>
      </c>
    </row>
    <row r="57" spans="1:11">
      <c r="A57" t="s">
        <v>1892</v>
      </c>
      <c r="B57" t="s">
        <v>36</v>
      </c>
      <c r="C57" t="s">
        <v>1893</v>
      </c>
      <c r="D57" t="s">
        <v>231</v>
      </c>
      <c r="E57" t="s">
        <v>1784</v>
      </c>
      <c r="F57">
        <v>5.4</v>
      </c>
      <c r="G57" s="5">
        <v>40000</v>
      </c>
      <c r="H57">
        <v>3</v>
      </c>
      <c r="I57">
        <v>8.1</v>
      </c>
      <c r="J57">
        <v>32</v>
      </c>
      <c r="K57" t="s">
        <v>41</v>
      </c>
    </row>
    <row r="58" spans="1:11">
      <c r="A58" t="s">
        <v>1894</v>
      </c>
      <c r="B58" t="s">
        <v>36</v>
      </c>
      <c r="C58" t="s">
        <v>1895</v>
      </c>
      <c r="D58" t="s">
        <v>231</v>
      </c>
      <c r="E58" t="s">
        <v>1864</v>
      </c>
      <c r="F58">
        <v>5.5</v>
      </c>
      <c r="G58" s="5">
        <v>61000</v>
      </c>
      <c r="H58">
        <v>5</v>
      </c>
      <c r="I58">
        <v>4</v>
      </c>
      <c r="J58">
        <v>20</v>
      </c>
      <c r="K58" t="s">
        <v>41</v>
      </c>
    </row>
    <row r="59" spans="1:11">
      <c r="A59" t="s">
        <v>1896</v>
      </c>
      <c r="B59" t="s">
        <v>36</v>
      </c>
      <c r="C59" t="s">
        <v>1897</v>
      </c>
      <c r="D59" t="s">
        <v>231</v>
      </c>
      <c r="E59" t="s">
        <v>1775</v>
      </c>
      <c r="F59">
        <v>1.6</v>
      </c>
      <c r="G59" s="5">
        <v>50000</v>
      </c>
      <c r="H59">
        <v>4</v>
      </c>
      <c r="I59">
        <v>1.2</v>
      </c>
      <c r="J59">
        <v>17</v>
      </c>
      <c r="K59" t="s">
        <v>41</v>
      </c>
    </row>
    <row r="60" spans="1:11">
      <c r="A60" t="s">
        <v>1898</v>
      </c>
      <c r="B60" t="s">
        <v>36</v>
      </c>
      <c r="C60" t="s">
        <v>1899</v>
      </c>
      <c r="D60" t="s">
        <v>231</v>
      </c>
      <c r="E60" t="s">
        <v>1778</v>
      </c>
      <c r="F60">
        <v>3.2</v>
      </c>
      <c r="G60" s="5">
        <v>32000</v>
      </c>
      <c r="H60">
        <v>3</v>
      </c>
      <c r="I60">
        <v>2.2000000000000002</v>
      </c>
      <c r="J60">
        <v>13</v>
      </c>
      <c r="K60" t="s">
        <v>41</v>
      </c>
    </row>
    <row r="61" spans="1:11">
      <c r="A61" t="s">
        <v>1900</v>
      </c>
      <c r="B61" t="s">
        <v>36</v>
      </c>
      <c r="C61" t="s">
        <v>1901</v>
      </c>
      <c r="D61" t="s">
        <v>231</v>
      </c>
      <c r="E61" t="s">
        <v>1784</v>
      </c>
      <c r="F61">
        <v>2.4</v>
      </c>
      <c r="G61" s="5">
        <v>56000</v>
      </c>
      <c r="H61">
        <v>4</v>
      </c>
      <c r="I61">
        <v>5.6</v>
      </c>
      <c r="J61">
        <v>10</v>
      </c>
      <c r="K61" t="s">
        <v>41</v>
      </c>
    </row>
    <row r="62" spans="1:11">
      <c r="A62" t="s">
        <v>1902</v>
      </c>
      <c r="B62" t="s">
        <v>36</v>
      </c>
      <c r="C62" t="s">
        <v>1903</v>
      </c>
      <c r="D62" t="s">
        <v>231</v>
      </c>
      <c r="E62" t="s">
        <v>1864</v>
      </c>
      <c r="F62">
        <v>2.4</v>
      </c>
      <c r="G62" s="5">
        <v>47000</v>
      </c>
      <c r="H62">
        <v>3</v>
      </c>
      <c r="I62">
        <v>1</v>
      </c>
      <c r="J62">
        <v>21</v>
      </c>
      <c r="K62" t="s">
        <v>41</v>
      </c>
    </row>
    <row r="63" spans="1:11">
      <c r="A63" t="s">
        <v>1904</v>
      </c>
      <c r="B63" t="s">
        <v>36</v>
      </c>
      <c r="C63" t="s">
        <v>1905</v>
      </c>
      <c r="D63" t="s">
        <v>231</v>
      </c>
      <c r="E63" t="s">
        <v>1778</v>
      </c>
      <c r="F63">
        <v>6.7</v>
      </c>
      <c r="G63" s="5">
        <v>30000</v>
      </c>
      <c r="H63">
        <v>5</v>
      </c>
      <c r="I63">
        <v>6.6</v>
      </c>
      <c r="J63">
        <v>10</v>
      </c>
      <c r="K63" t="s">
        <v>41</v>
      </c>
    </row>
    <row r="64" spans="1:11">
      <c r="A64" t="s">
        <v>1906</v>
      </c>
      <c r="B64" t="s">
        <v>36</v>
      </c>
      <c r="C64" t="s">
        <v>1907</v>
      </c>
      <c r="D64" t="s">
        <v>231</v>
      </c>
      <c r="E64" t="s">
        <v>1784</v>
      </c>
      <c r="F64">
        <v>4.7</v>
      </c>
      <c r="G64" s="5">
        <v>26000</v>
      </c>
      <c r="H64">
        <v>4</v>
      </c>
      <c r="I64">
        <v>4.2</v>
      </c>
      <c r="J64">
        <v>7</v>
      </c>
      <c r="K64" t="s">
        <v>41</v>
      </c>
    </row>
    <row r="65" spans="1:12">
      <c r="A65" t="s">
        <v>1908</v>
      </c>
      <c r="B65" t="s">
        <v>36</v>
      </c>
      <c r="C65" t="s">
        <v>1909</v>
      </c>
      <c r="D65" t="s">
        <v>231</v>
      </c>
      <c r="E65" t="s">
        <v>1778</v>
      </c>
      <c r="F65">
        <v>1.1000000000000001</v>
      </c>
      <c r="G65" s="5">
        <v>26000</v>
      </c>
      <c r="H65">
        <v>4</v>
      </c>
      <c r="I65">
        <v>1.2</v>
      </c>
      <c r="J65">
        <v>29</v>
      </c>
      <c r="K65" t="s">
        <v>41</v>
      </c>
    </row>
    <row r="66" spans="1:12">
      <c r="A66" t="s">
        <v>1910</v>
      </c>
      <c r="B66" t="s">
        <v>36</v>
      </c>
      <c r="C66" t="s">
        <v>1911</v>
      </c>
      <c r="D66" t="s">
        <v>231</v>
      </c>
      <c r="E66" t="s">
        <v>1864</v>
      </c>
      <c r="F66">
        <v>3</v>
      </c>
      <c r="G66" s="5">
        <v>60000</v>
      </c>
      <c r="H66">
        <v>3</v>
      </c>
      <c r="I66">
        <v>9</v>
      </c>
      <c r="J66">
        <v>6</v>
      </c>
      <c r="K66" t="s">
        <v>41</v>
      </c>
    </row>
    <row r="67" spans="1:12">
      <c r="A67" t="s">
        <v>1912</v>
      </c>
      <c r="B67" t="s">
        <v>36</v>
      </c>
      <c r="C67" t="s">
        <v>1913</v>
      </c>
      <c r="D67" t="s">
        <v>231</v>
      </c>
      <c r="E67" t="s">
        <v>1864</v>
      </c>
      <c r="F67">
        <v>5.5</v>
      </c>
      <c r="G67" s="5">
        <v>28000</v>
      </c>
      <c r="H67">
        <v>3</v>
      </c>
      <c r="I67">
        <v>9</v>
      </c>
      <c r="J67">
        <v>30</v>
      </c>
      <c r="K67" t="s">
        <v>41</v>
      </c>
    </row>
    <row r="68" spans="1:12">
      <c r="A68" t="s">
        <v>1914</v>
      </c>
      <c r="B68" t="s">
        <v>36</v>
      </c>
      <c r="C68" t="s">
        <v>1915</v>
      </c>
      <c r="D68" t="s">
        <v>231</v>
      </c>
      <c r="E68" t="s">
        <v>1784</v>
      </c>
      <c r="F68">
        <v>6.8</v>
      </c>
      <c r="G68" s="5">
        <v>43000</v>
      </c>
      <c r="H68">
        <v>3</v>
      </c>
      <c r="I68">
        <v>2.7</v>
      </c>
      <c r="J68">
        <v>26</v>
      </c>
      <c r="K68" t="s">
        <v>41</v>
      </c>
    </row>
    <row r="69" spans="1:12">
      <c r="A69" t="s">
        <v>1916</v>
      </c>
      <c r="B69" t="s">
        <v>36</v>
      </c>
      <c r="C69" t="s">
        <v>1917</v>
      </c>
      <c r="D69" t="s">
        <v>231</v>
      </c>
      <c r="E69" t="s">
        <v>1775</v>
      </c>
      <c r="F69">
        <v>2.7</v>
      </c>
      <c r="G69" s="5">
        <v>54000</v>
      </c>
      <c r="H69">
        <v>3</v>
      </c>
      <c r="I69">
        <v>8.8000000000000007</v>
      </c>
      <c r="J69">
        <v>4</v>
      </c>
      <c r="K69" t="s">
        <v>41</v>
      </c>
    </row>
    <row r="70" spans="1:12">
      <c r="A70" t="s">
        <v>1918</v>
      </c>
      <c r="B70" t="s">
        <v>36</v>
      </c>
      <c r="C70" t="s">
        <v>1919</v>
      </c>
      <c r="D70" t="s">
        <v>231</v>
      </c>
      <c r="E70" t="s">
        <v>1778</v>
      </c>
      <c r="F70">
        <v>6.9</v>
      </c>
      <c r="G70" s="5">
        <v>45000</v>
      </c>
      <c r="H70">
        <v>2</v>
      </c>
      <c r="I70">
        <v>9.1999999999999993</v>
      </c>
      <c r="J70">
        <v>40</v>
      </c>
      <c r="K70" t="s">
        <v>53</v>
      </c>
      <c r="L70" t="s">
        <v>1789</v>
      </c>
    </row>
    <row r="71" spans="1:12">
      <c r="A71" t="s">
        <v>1920</v>
      </c>
      <c r="B71" t="s">
        <v>36</v>
      </c>
      <c r="C71" t="s">
        <v>1921</v>
      </c>
      <c r="D71" t="s">
        <v>231</v>
      </c>
      <c r="E71" t="s">
        <v>1778</v>
      </c>
      <c r="F71">
        <v>4.8</v>
      </c>
      <c r="G71" s="5">
        <v>49000</v>
      </c>
      <c r="H71">
        <v>4</v>
      </c>
      <c r="I71">
        <v>5</v>
      </c>
      <c r="J71">
        <v>11</v>
      </c>
      <c r="K71" t="s">
        <v>41</v>
      </c>
    </row>
    <row r="72" spans="1:12">
      <c r="A72" t="s">
        <v>1922</v>
      </c>
      <c r="B72" t="s">
        <v>36</v>
      </c>
      <c r="C72" t="s">
        <v>1923</v>
      </c>
      <c r="D72" t="s">
        <v>231</v>
      </c>
      <c r="E72" t="s">
        <v>1864</v>
      </c>
      <c r="F72">
        <v>5.4</v>
      </c>
      <c r="G72" s="5">
        <v>39000</v>
      </c>
      <c r="H72">
        <v>4</v>
      </c>
      <c r="I72">
        <v>6.2</v>
      </c>
      <c r="J72">
        <v>30</v>
      </c>
      <c r="K72" t="s">
        <v>41</v>
      </c>
    </row>
    <row r="73" spans="1:12">
      <c r="A73" t="s">
        <v>1924</v>
      </c>
      <c r="B73" t="s">
        <v>36</v>
      </c>
      <c r="C73" t="s">
        <v>1925</v>
      </c>
      <c r="D73" t="s">
        <v>231</v>
      </c>
      <c r="E73" t="s">
        <v>1784</v>
      </c>
      <c r="F73">
        <v>6.4</v>
      </c>
      <c r="G73" s="5">
        <v>52000</v>
      </c>
      <c r="H73">
        <v>3</v>
      </c>
      <c r="I73">
        <v>7.3</v>
      </c>
      <c r="J73">
        <v>16</v>
      </c>
      <c r="K73" t="s">
        <v>41</v>
      </c>
    </row>
    <row r="74" spans="1:12">
      <c r="A74" t="s">
        <v>1926</v>
      </c>
      <c r="B74" t="s">
        <v>36</v>
      </c>
      <c r="C74" t="s">
        <v>1927</v>
      </c>
      <c r="D74" t="s">
        <v>231</v>
      </c>
      <c r="E74" t="s">
        <v>1778</v>
      </c>
      <c r="F74">
        <v>5.9</v>
      </c>
      <c r="G74" s="5">
        <v>30000</v>
      </c>
      <c r="H74">
        <v>4</v>
      </c>
      <c r="I74">
        <v>13.2</v>
      </c>
      <c r="J74">
        <v>39</v>
      </c>
      <c r="K74" t="s">
        <v>53</v>
      </c>
      <c r="L74" t="s">
        <v>1789</v>
      </c>
    </row>
    <row r="75" spans="1:12">
      <c r="A75" t="s">
        <v>1928</v>
      </c>
      <c r="B75" t="s">
        <v>36</v>
      </c>
      <c r="C75" t="s">
        <v>1929</v>
      </c>
      <c r="D75" t="s">
        <v>231</v>
      </c>
      <c r="E75" t="s">
        <v>1778</v>
      </c>
      <c r="F75">
        <v>4.3</v>
      </c>
      <c r="G75" s="5">
        <v>22000</v>
      </c>
      <c r="H75">
        <v>5</v>
      </c>
      <c r="I75">
        <v>5.3</v>
      </c>
      <c r="J75">
        <v>27</v>
      </c>
      <c r="K75" t="s">
        <v>41</v>
      </c>
    </row>
    <row r="76" spans="1:12">
      <c r="A76" t="s">
        <v>1930</v>
      </c>
      <c r="B76" t="s">
        <v>36</v>
      </c>
      <c r="C76" t="s">
        <v>1931</v>
      </c>
      <c r="D76" t="s">
        <v>231</v>
      </c>
      <c r="E76" t="s">
        <v>1864</v>
      </c>
      <c r="F76">
        <v>1.2</v>
      </c>
      <c r="G76" s="5">
        <v>27000</v>
      </c>
      <c r="H76">
        <v>4</v>
      </c>
      <c r="I76">
        <v>9.6999999999999993</v>
      </c>
      <c r="J76">
        <v>33</v>
      </c>
      <c r="K76" t="s">
        <v>53</v>
      </c>
      <c r="L76" t="s">
        <v>1865</v>
      </c>
    </row>
    <row r="77" spans="1:12">
      <c r="A77" t="s">
        <v>1932</v>
      </c>
      <c r="B77" t="s">
        <v>36</v>
      </c>
      <c r="C77" t="s">
        <v>1933</v>
      </c>
      <c r="D77" t="s">
        <v>396</v>
      </c>
      <c r="E77" t="s">
        <v>1806</v>
      </c>
      <c r="F77">
        <v>6.9</v>
      </c>
      <c r="G77" s="5">
        <v>62000</v>
      </c>
      <c r="H77">
        <v>3</v>
      </c>
      <c r="I77">
        <v>7.7</v>
      </c>
      <c r="J77">
        <v>22</v>
      </c>
      <c r="K77" t="s">
        <v>41</v>
      </c>
    </row>
    <row r="78" spans="1:12">
      <c r="A78" t="s">
        <v>1934</v>
      </c>
      <c r="B78" t="s">
        <v>36</v>
      </c>
      <c r="C78" t="s">
        <v>1935</v>
      </c>
      <c r="D78" t="s">
        <v>396</v>
      </c>
      <c r="E78" t="s">
        <v>1784</v>
      </c>
      <c r="F78">
        <v>4.8</v>
      </c>
      <c r="G78" s="5">
        <v>56000</v>
      </c>
      <c r="H78">
        <v>4</v>
      </c>
      <c r="I78">
        <v>8.6</v>
      </c>
      <c r="J78">
        <v>20</v>
      </c>
      <c r="K78" t="s">
        <v>41</v>
      </c>
    </row>
    <row r="79" spans="1:12">
      <c r="A79" t="s">
        <v>1936</v>
      </c>
      <c r="B79" t="s">
        <v>36</v>
      </c>
      <c r="C79" t="s">
        <v>1937</v>
      </c>
      <c r="D79" t="s">
        <v>396</v>
      </c>
      <c r="E79" t="s">
        <v>1784</v>
      </c>
      <c r="F79">
        <v>5.4</v>
      </c>
      <c r="G79" s="5">
        <v>57000</v>
      </c>
      <c r="H79">
        <v>5</v>
      </c>
      <c r="I79">
        <v>7.4</v>
      </c>
      <c r="J79">
        <v>10</v>
      </c>
      <c r="K79" t="s">
        <v>41</v>
      </c>
    </row>
    <row r="80" spans="1:12">
      <c r="A80" t="s">
        <v>1938</v>
      </c>
      <c r="B80" t="s">
        <v>36</v>
      </c>
      <c r="C80" t="s">
        <v>1939</v>
      </c>
      <c r="D80" t="s">
        <v>396</v>
      </c>
      <c r="E80" t="s">
        <v>1784</v>
      </c>
      <c r="F80">
        <v>4.5</v>
      </c>
      <c r="G80" s="5">
        <v>27000</v>
      </c>
      <c r="H80">
        <v>4</v>
      </c>
      <c r="I80">
        <v>8.5</v>
      </c>
      <c r="J80">
        <v>32</v>
      </c>
      <c r="K80" t="s">
        <v>53</v>
      </c>
      <c r="L80" t="s">
        <v>1789</v>
      </c>
    </row>
    <row r="81" spans="1:12">
      <c r="A81" t="s">
        <v>1940</v>
      </c>
      <c r="B81" t="s">
        <v>36</v>
      </c>
      <c r="C81" t="s">
        <v>1941</v>
      </c>
      <c r="D81" t="s">
        <v>396</v>
      </c>
      <c r="E81" t="s">
        <v>1778</v>
      </c>
      <c r="F81">
        <v>1.3</v>
      </c>
      <c r="G81" s="5">
        <v>61000</v>
      </c>
      <c r="H81">
        <v>4</v>
      </c>
      <c r="I81">
        <v>5.7</v>
      </c>
      <c r="J81">
        <v>13</v>
      </c>
      <c r="K81" t="s">
        <v>41</v>
      </c>
    </row>
    <row r="82" spans="1:12">
      <c r="A82" t="s">
        <v>1942</v>
      </c>
      <c r="B82" t="s">
        <v>36</v>
      </c>
      <c r="C82" t="s">
        <v>1943</v>
      </c>
      <c r="D82" t="s">
        <v>396</v>
      </c>
      <c r="E82" t="s">
        <v>1806</v>
      </c>
      <c r="F82">
        <v>0.9</v>
      </c>
      <c r="G82" s="5">
        <v>65000</v>
      </c>
      <c r="H82">
        <v>3</v>
      </c>
      <c r="I82">
        <v>6.8</v>
      </c>
      <c r="J82">
        <v>24</v>
      </c>
      <c r="K82" t="s">
        <v>41</v>
      </c>
    </row>
    <row r="83" spans="1:12">
      <c r="A83" t="s">
        <v>1944</v>
      </c>
      <c r="B83" t="s">
        <v>36</v>
      </c>
      <c r="C83" t="s">
        <v>1945</v>
      </c>
      <c r="D83" t="s">
        <v>396</v>
      </c>
      <c r="E83" t="s">
        <v>1784</v>
      </c>
      <c r="F83">
        <v>6.7</v>
      </c>
      <c r="G83" s="5">
        <v>24000</v>
      </c>
      <c r="H83">
        <v>4</v>
      </c>
      <c r="I83">
        <v>9</v>
      </c>
      <c r="J83">
        <v>10</v>
      </c>
      <c r="K83" t="s">
        <v>41</v>
      </c>
    </row>
    <row r="84" spans="1:12">
      <c r="A84" t="s">
        <v>1946</v>
      </c>
      <c r="B84" t="s">
        <v>36</v>
      </c>
      <c r="C84" t="s">
        <v>1947</v>
      </c>
      <c r="D84" t="s">
        <v>396</v>
      </c>
      <c r="E84" t="s">
        <v>1778</v>
      </c>
      <c r="F84">
        <v>3.5</v>
      </c>
      <c r="G84" s="5">
        <v>25000</v>
      </c>
      <c r="H84">
        <v>4</v>
      </c>
      <c r="I84">
        <v>1.9</v>
      </c>
      <c r="J84">
        <v>18</v>
      </c>
      <c r="K84" t="s">
        <v>41</v>
      </c>
    </row>
    <row r="85" spans="1:12">
      <c r="A85" t="s">
        <v>1948</v>
      </c>
      <c r="B85" t="s">
        <v>36</v>
      </c>
      <c r="C85" t="s">
        <v>1949</v>
      </c>
      <c r="D85" t="s">
        <v>396</v>
      </c>
      <c r="E85" t="s">
        <v>1784</v>
      </c>
      <c r="F85">
        <v>1.9</v>
      </c>
      <c r="G85" s="5">
        <v>42000</v>
      </c>
      <c r="H85">
        <v>3</v>
      </c>
      <c r="I85">
        <v>12.7</v>
      </c>
      <c r="J85">
        <v>33</v>
      </c>
      <c r="K85" t="s">
        <v>53</v>
      </c>
      <c r="L85" t="s">
        <v>1950</v>
      </c>
    </row>
    <row r="86" spans="1:12">
      <c r="A86" t="s">
        <v>1951</v>
      </c>
      <c r="B86" t="s">
        <v>36</v>
      </c>
      <c r="C86" t="s">
        <v>1952</v>
      </c>
      <c r="D86" t="s">
        <v>396</v>
      </c>
      <c r="E86" t="s">
        <v>1806</v>
      </c>
      <c r="F86">
        <v>1.2</v>
      </c>
      <c r="G86" s="5">
        <v>59000</v>
      </c>
      <c r="H86">
        <v>4</v>
      </c>
      <c r="I86">
        <v>8.8000000000000007</v>
      </c>
      <c r="J86">
        <v>23</v>
      </c>
      <c r="K86" t="s">
        <v>41</v>
      </c>
    </row>
    <row r="87" spans="1:12">
      <c r="A87" t="s">
        <v>1953</v>
      </c>
      <c r="B87" t="s">
        <v>36</v>
      </c>
      <c r="C87" t="s">
        <v>1954</v>
      </c>
      <c r="D87" t="s">
        <v>396</v>
      </c>
      <c r="E87" t="s">
        <v>1778</v>
      </c>
      <c r="F87">
        <v>3.2</v>
      </c>
      <c r="G87" s="5">
        <v>22000</v>
      </c>
      <c r="H87">
        <v>4</v>
      </c>
      <c r="I87">
        <v>3.6</v>
      </c>
      <c r="J87">
        <v>22</v>
      </c>
      <c r="K87" t="s">
        <v>41</v>
      </c>
    </row>
    <row r="88" spans="1:12">
      <c r="A88" t="s">
        <v>1955</v>
      </c>
      <c r="B88" t="s">
        <v>36</v>
      </c>
      <c r="C88" t="s">
        <v>1956</v>
      </c>
      <c r="D88" t="s">
        <v>396</v>
      </c>
      <c r="E88" t="s">
        <v>1957</v>
      </c>
      <c r="F88">
        <v>6.1</v>
      </c>
      <c r="G88" s="5">
        <v>41000</v>
      </c>
      <c r="H88">
        <v>3</v>
      </c>
      <c r="I88">
        <v>1.2</v>
      </c>
      <c r="J88">
        <v>23</v>
      </c>
      <c r="K88" t="s">
        <v>41</v>
      </c>
    </row>
    <row r="89" spans="1:12">
      <c r="A89" t="s">
        <v>1958</v>
      </c>
      <c r="B89" t="s">
        <v>36</v>
      </c>
      <c r="C89" t="s">
        <v>1959</v>
      </c>
      <c r="D89" t="s">
        <v>396</v>
      </c>
      <c r="E89" t="s">
        <v>1806</v>
      </c>
      <c r="F89">
        <v>0.8</v>
      </c>
      <c r="G89" s="5">
        <v>46000</v>
      </c>
      <c r="H89">
        <v>5</v>
      </c>
      <c r="I89">
        <v>8.8000000000000007</v>
      </c>
      <c r="J89">
        <v>11</v>
      </c>
      <c r="K89" t="s">
        <v>41</v>
      </c>
    </row>
    <row r="90" spans="1:12">
      <c r="A90" t="s">
        <v>1960</v>
      </c>
      <c r="B90" t="s">
        <v>36</v>
      </c>
      <c r="C90" t="s">
        <v>1961</v>
      </c>
      <c r="D90" t="s">
        <v>396</v>
      </c>
      <c r="E90" t="s">
        <v>1784</v>
      </c>
      <c r="F90">
        <v>3.5</v>
      </c>
      <c r="G90" s="5">
        <v>48000</v>
      </c>
      <c r="H90">
        <v>4</v>
      </c>
      <c r="I90">
        <v>11.5</v>
      </c>
      <c r="J90">
        <v>24</v>
      </c>
      <c r="K90" t="s">
        <v>53</v>
      </c>
      <c r="L90" t="s">
        <v>1779</v>
      </c>
    </row>
    <row r="91" spans="1:12">
      <c r="A91" t="s">
        <v>1962</v>
      </c>
      <c r="B91" t="s">
        <v>36</v>
      </c>
      <c r="C91" t="s">
        <v>1963</v>
      </c>
      <c r="D91" t="s">
        <v>396</v>
      </c>
      <c r="E91" t="s">
        <v>1806</v>
      </c>
      <c r="F91">
        <v>0.6</v>
      </c>
      <c r="G91" s="5">
        <v>41000</v>
      </c>
      <c r="H91">
        <v>4</v>
      </c>
      <c r="I91">
        <v>7.3</v>
      </c>
      <c r="J91">
        <v>11</v>
      </c>
      <c r="K91" t="s">
        <v>41</v>
      </c>
    </row>
    <row r="92" spans="1:12">
      <c r="A92" t="s">
        <v>1964</v>
      </c>
      <c r="B92" t="s">
        <v>36</v>
      </c>
      <c r="C92" t="s">
        <v>1965</v>
      </c>
      <c r="D92" t="s">
        <v>396</v>
      </c>
      <c r="E92" t="s">
        <v>1784</v>
      </c>
      <c r="F92">
        <v>5.8</v>
      </c>
      <c r="G92" s="5">
        <v>43000</v>
      </c>
      <c r="H92">
        <v>4</v>
      </c>
      <c r="I92">
        <v>4.4000000000000004</v>
      </c>
      <c r="J92">
        <v>14</v>
      </c>
      <c r="K92" t="s">
        <v>41</v>
      </c>
    </row>
    <row r="93" spans="1:12">
      <c r="A93" t="s">
        <v>1966</v>
      </c>
      <c r="B93" t="s">
        <v>36</v>
      </c>
      <c r="C93" t="s">
        <v>1967</v>
      </c>
      <c r="D93" t="s">
        <v>396</v>
      </c>
      <c r="E93" t="s">
        <v>1957</v>
      </c>
      <c r="F93">
        <v>7.3</v>
      </c>
      <c r="G93" s="5">
        <v>34000</v>
      </c>
      <c r="H93">
        <v>2</v>
      </c>
      <c r="I93">
        <v>10.6</v>
      </c>
      <c r="J93">
        <v>25</v>
      </c>
      <c r="K93" t="s">
        <v>53</v>
      </c>
      <c r="L93" t="s">
        <v>1835</v>
      </c>
    </row>
    <row r="94" spans="1:12">
      <c r="A94" t="s">
        <v>1968</v>
      </c>
      <c r="B94" t="s">
        <v>36</v>
      </c>
      <c r="C94" t="s">
        <v>1969</v>
      </c>
      <c r="D94" t="s">
        <v>396</v>
      </c>
      <c r="E94" t="s">
        <v>1806</v>
      </c>
      <c r="F94">
        <v>6.5</v>
      </c>
      <c r="G94" s="5">
        <v>45000</v>
      </c>
      <c r="H94">
        <v>5</v>
      </c>
      <c r="I94">
        <v>1.2</v>
      </c>
      <c r="J94">
        <v>7</v>
      </c>
      <c r="K94" t="s">
        <v>41</v>
      </c>
    </row>
    <row r="95" spans="1:12">
      <c r="A95" t="s">
        <v>1970</v>
      </c>
      <c r="B95" t="s">
        <v>36</v>
      </c>
      <c r="C95" t="s">
        <v>1971</v>
      </c>
      <c r="D95" t="s">
        <v>396</v>
      </c>
      <c r="E95" t="s">
        <v>1784</v>
      </c>
      <c r="F95">
        <v>6</v>
      </c>
      <c r="G95" s="5">
        <v>62000</v>
      </c>
      <c r="H95">
        <v>4</v>
      </c>
      <c r="I95">
        <v>7.4</v>
      </c>
      <c r="J95">
        <v>31</v>
      </c>
      <c r="K95" t="s">
        <v>41</v>
      </c>
    </row>
    <row r="96" spans="1:12">
      <c r="A96" t="s">
        <v>1972</v>
      </c>
      <c r="B96" t="s">
        <v>36</v>
      </c>
      <c r="C96" t="s">
        <v>1973</v>
      </c>
      <c r="D96" t="s">
        <v>396</v>
      </c>
      <c r="E96" t="s">
        <v>1957</v>
      </c>
      <c r="F96">
        <v>0.9</v>
      </c>
      <c r="G96" s="5">
        <v>47000</v>
      </c>
      <c r="H96">
        <v>3</v>
      </c>
      <c r="I96">
        <v>7.2</v>
      </c>
      <c r="J96">
        <v>13</v>
      </c>
      <c r="K96" t="s">
        <v>41</v>
      </c>
    </row>
    <row r="97" spans="1:12">
      <c r="A97" t="s">
        <v>1974</v>
      </c>
      <c r="B97" t="s">
        <v>36</v>
      </c>
      <c r="C97" t="s">
        <v>1975</v>
      </c>
      <c r="D97" t="s">
        <v>396</v>
      </c>
      <c r="E97" t="s">
        <v>1806</v>
      </c>
      <c r="F97">
        <v>7</v>
      </c>
      <c r="G97" s="5">
        <v>22000</v>
      </c>
      <c r="H97">
        <v>4</v>
      </c>
      <c r="I97">
        <v>5.8</v>
      </c>
      <c r="J97">
        <v>14</v>
      </c>
      <c r="K97" t="s">
        <v>41</v>
      </c>
    </row>
    <row r="98" spans="1:12">
      <c r="A98" t="s">
        <v>1976</v>
      </c>
      <c r="B98" t="s">
        <v>36</v>
      </c>
      <c r="C98" t="s">
        <v>1977</v>
      </c>
      <c r="D98" t="s">
        <v>396</v>
      </c>
      <c r="E98" t="s">
        <v>1778</v>
      </c>
      <c r="F98">
        <v>1.7</v>
      </c>
      <c r="G98" s="5">
        <v>40000</v>
      </c>
      <c r="H98">
        <v>4</v>
      </c>
      <c r="I98">
        <v>2.2999999999999998</v>
      </c>
      <c r="J98">
        <v>8</v>
      </c>
      <c r="K98" t="s">
        <v>41</v>
      </c>
    </row>
    <row r="99" spans="1:12">
      <c r="A99" t="s">
        <v>1978</v>
      </c>
      <c r="B99" t="s">
        <v>36</v>
      </c>
      <c r="C99" t="s">
        <v>1979</v>
      </c>
      <c r="D99" t="s">
        <v>396</v>
      </c>
      <c r="E99" t="s">
        <v>1784</v>
      </c>
      <c r="F99">
        <v>3.5</v>
      </c>
      <c r="G99" s="5">
        <v>52000</v>
      </c>
      <c r="H99">
        <v>3</v>
      </c>
      <c r="I99">
        <v>8.6999999999999993</v>
      </c>
      <c r="J99">
        <v>28</v>
      </c>
      <c r="K99" t="s">
        <v>41</v>
      </c>
    </row>
    <row r="100" spans="1:12">
      <c r="A100" t="s">
        <v>1980</v>
      </c>
      <c r="B100" t="s">
        <v>36</v>
      </c>
      <c r="C100" t="s">
        <v>1981</v>
      </c>
      <c r="D100" t="s">
        <v>396</v>
      </c>
      <c r="E100" t="s">
        <v>1957</v>
      </c>
      <c r="F100">
        <v>4.8</v>
      </c>
      <c r="G100" s="5">
        <v>46000</v>
      </c>
      <c r="H100">
        <v>4</v>
      </c>
      <c r="I100">
        <v>3.5</v>
      </c>
      <c r="J100">
        <v>7</v>
      </c>
      <c r="K100" t="s">
        <v>41</v>
      </c>
    </row>
    <row r="101" spans="1:12">
      <c r="A101" t="s">
        <v>1982</v>
      </c>
      <c r="B101" t="s">
        <v>36</v>
      </c>
      <c r="C101" t="s">
        <v>1983</v>
      </c>
      <c r="D101" t="s">
        <v>396</v>
      </c>
      <c r="E101" t="s">
        <v>1957</v>
      </c>
      <c r="F101">
        <v>5.5</v>
      </c>
      <c r="G101" s="5">
        <v>28000</v>
      </c>
      <c r="H101">
        <v>3</v>
      </c>
      <c r="I101">
        <v>1.8</v>
      </c>
      <c r="J101">
        <v>8</v>
      </c>
      <c r="K101" t="s">
        <v>41</v>
      </c>
    </row>
    <row r="102" spans="1:12">
      <c r="A102" t="s">
        <v>1984</v>
      </c>
      <c r="B102" t="s">
        <v>541</v>
      </c>
      <c r="C102" t="s">
        <v>1774</v>
      </c>
      <c r="D102" t="s">
        <v>37</v>
      </c>
      <c r="E102" t="s">
        <v>1778</v>
      </c>
      <c r="F102">
        <v>1.3</v>
      </c>
      <c r="G102" s="5">
        <v>59000</v>
      </c>
      <c r="H102">
        <v>3</v>
      </c>
      <c r="I102">
        <v>1</v>
      </c>
      <c r="J102">
        <v>31</v>
      </c>
      <c r="K102" t="s">
        <v>41</v>
      </c>
    </row>
    <row r="103" spans="1:12">
      <c r="A103" t="s">
        <v>1985</v>
      </c>
      <c r="B103" t="s">
        <v>541</v>
      </c>
      <c r="C103" t="s">
        <v>1777</v>
      </c>
      <c r="D103" t="s">
        <v>37</v>
      </c>
      <c r="E103" t="s">
        <v>1784</v>
      </c>
      <c r="F103">
        <v>7.4</v>
      </c>
      <c r="G103" s="5">
        <v>30000</v>
      </c>
      <c r="H103">
        <v>5</v>
      </c>
      <c r="I103">
        <v>8.9</v>
      </c>
      <c r="J103">
        <v>18</v>
      </c>
      <c r="K103" t="s">
        <v>41</v>
      </c>
    </row>
    <row r="104" spans="1:12">
      <c r="A104" t="s">
        <v>1986</v>
      </c>
      <c r="B104" t="s">
        <v>541</v>
      </c>
      <c r="C104" t="s">
        <v>1781</v>
      </c>
      <c r="D104" t="s">
        <v>37</v>
      </c>
      <c r="E104" t="s">
        <v>1775</v>
      </c>
      <c r="F104">
        <v>3.6</v>
      </c>
      <c r="G104" s="5">
        <v>22000</v>
      </c>
      <c r="H104">
        <v>3</v>
      </c>
      <c r="I104">
        <v>8</v>
      </c>
      <c r="J104">
        <v>8</v>
      </c>
      <c r="K104" t="s">
        <v>41</v>
      </c>
    </row>
    <row r="105" spans="1:12">
      <c r="A105" t="s">
        <v>1987</v>
      </c>
      <c r="B105" t="s">
        <v>541</v>
      </c>
      <c r="C105" t="s">
        <v>1783</v>
      </c>
      <c r="D105" t="s">
        <v>37</v>
      </c>
      <c r="E105" t="s">
        <v>1784</v>
      </c>
      <c r="F105">
        <v>6</v>
      </c>
      <c r="G105" s="5">
        <v>32000</v>
      </c>
      <c r="H105">
        <v>4</v>
      </c>
      <c r="I105">
        <v>4.5999999999999996</v>
      </c>
      <c r="J105">
        <v>25</v>
      </c>
      <c r="K105" t="s">
        <v>41</v>
      </c>
    </row>
    <row r="106" spans="1:12">
      <c r="A106" t="s">
        <v>1988</v>
      </c>
      <c r="B106" t="s">
        <v>541</v>
      </c>
      <c r="C106" t="s">
        <v>1786</v>
      </c>
      <c r="D106" t="s">
        <v>37</v>
      </c>
      <c r="E106" t="s">
        <v>1778</v>
      </c>
      <c r="F106">
        <v>6.9</v>
      </c>
      <c r="G106" s="5">
        <v>25000</v>
      </c>
      <c r="H106">
        <v>4</v>
      </c>
      <c r="I106">
        <v>1.6</v>
      </c>
      <c r="J106">
        <v>26</v>
      </c>
      <c r="K106" t="s">
        <v>41</v>
      </c>
    </row>
    <row r="107" spans="1:12">
      <c r="A107" t="s">
        <v>1989</v>
      </c>
      <c r="B107" t="s">
        <v>541</v>
      </c>
      <c r="C107" t="s">
        <v>1788</v>
      </c>
      <c r="D107" t="s">
        <v>37</v>
      </c>
      <c r="E107" t="s">
        <v>1784</v>
      </c>
      <c r="F107">
        <v>2.9</v>
      </c>
      <c r="G107" s="5">
        <v>49000</v>
      </c>
      <c r="H107">
        <v>2</v>
      </c>
      <c r="I107">
        <v>13.3</v>
      </c>
      <c r="J107">
        <v>27</v>
      </c>
      <c r="K107" t="s">
        <v>53</v>
      </c>
      <c r="L107" t="s">
        <v>1789</v>
      </c>
    </row>
    <row r="108" spans="1:12">
      <c r="A108" t="s">
        <v>1990</v>
      </c>
      <c r="B108" t="s">
        <v>541</v>
      </c>
      <c r="C108" t="s">
        <v>1791</v>
      </c>
      <c r="D108" t="s">
        <v>37</v>
      </c>
      <c r="E108" t="s">
        <v>1778</v>
      </c>
      <c r="F108">
        <v>3.7</v>
      </c>
      <c r="G108" s="5">
        <v>44000</v>
      </c>
      <c r="H108">
        <v>5</v>
      </c>
      <c r="I108">
        <v>6.8</v>
      </c>
      <c r="J108">
        <v>30</v>
      </c>
      <c r="K108" t="s">
        <v>41</v>
      </c>
    </row>
    <row r="109" spans="1:12">
      <c r="A109" t="s">
        <v>1991</v>
      </c>
      <c r="B109" t="s">
        <v>541</v>
      </c>
      <c r="C109" t="s">
        <v>1793</v>
      </c>
      <c r="D109" t="s">
        <v>37</v>
      </c>
      <c r="E109" t="s">
        <v>1806</v>
      </c>
      <c r="F109">
        <v>2.7</v>
      </c>
      <c r="G109" s="5">
        <v>29000</v>
      </c>
      <c r="H109">
        <v>3</v>
      </c>
      <c r="I109">
        <v>3.9</v>
      </c>
      <c r="J109">
        <v>11</v>
      </c>
      <c r="K109" t="s">
        <v>41</v>
      </c>
    </row>
    <row r="110" spans="1:12">
      <c r="A110" t="s">
        <v>1992</v>
      </c>
      <c r="B110" t="s">
        <v>541</v>
      </c>
      <c r="C110" t="s">
        <v>1795</v>
      </c>
      <c r="D110" t="s">
        <v>37</v>
      </c>
      <c r="E110" t="s">
        <v>1775</v>
      </c>
      <c r="F110">
        <v>6.7</v>
      </c>
      <c r="G110" s="5">
        <v>45000</v>
      </c>
      <c r="H110">
        <v>5</v>
      </c>
      <c r="I110">
        <v>6.6</v>
      </c>
      <c r="J110">
        <v>10</v>
      </c>
      <c r="K110" t="s">
        <v>41</v>
      </c>
    </row>
    <row r="111" spans="1:12">
      <c r="A111" t="s">
        <v>1993</v>
      </c>
      <c r="B111" t="s">
        <v>541</v>
      </c>
      <c r="C111" t="s">
        <v>1797</v>
      </c>
      <c r="D111" t="s">
        <v>37</v>
      </c>
      <c r="E111" t="s">
        <v>1784</v>
      </c>
      <c r="F111">
        <v>2.2999999999999998</v>
      </c>
      <c r="G111" s="5">
        <v>63000</v>
      </c>
      <c r="H111">
        <v>4</v>
      </c>
      <c r="I111">
        <v>1.4</v>
      </c>
      <c r="J111">
        <v>24</v>
      </c>
      <c r="K111" t="s">
        <v>41</v>
      </c>
    </row>
    <row r="112" spans="1:12">
      <c r="A112" t="s">
        <v>1994</v>
      </c>
      <c r="B112" t="s">
        <v>541</v>
      </c>
      <c r="C112" t="s">
        <v>1799</v>
      </c>
      <c r="D112" t="s">
        <v>37</v>
      </c>
      <c r="E112" t="s">
        <v>1775</v>
      </c>
      <c r="F112">
        <v>5.7</v>
      </c>
      <c r="G112" s="5">
        <v>34000</v>
      </c>
      <c r="H112">
        <v>4</v>
      </c>
      <c r="I112">
        <v>3.3</v>
      </c>
      <c r="J112">
        <v>17</v>
      </c>
      <c r="K112" t="s">
        <v>41</v>
      </c>
    </row>
    <row r="113" spans="1:12">
      <c r="A113" t="s">
        <v>1995</v>
      </c>
      <c r="B113" t="s">
        <v>541</v>
      </c>
      <c r="C113" t="s">
        <v>1801</v>
      </c>
      <c r="D113" t="s">
        <v>37</v>
      </c>
      <c r="E113" t="s">
        <v>1806</v>
      </c>
      <c r="F113">
        <v>7</v>
      </c>
      <c r="G113" s="5">
        <v>50000</v>
      </c>
      <c r="H113">
        <v>3</v>
      </c>
      <c r="I113">
        <v>1.9</v>
      </c>
      <c r="J113">
        <v>9</v>
      </c>
      <c r="K113" t="s">
        <v>41</v>
      </c>
    </row>
    <row r="114" spans="1:12">
      <c r="A114" t="s">
        <v>1996</v>
      </c>
      <c r="B114" t="s">
        <v>541</v>
      </c>
      <c r="C114" t="s">
        <v>1803</v>
      </c>
      <c r="D114" t="s">
        <v>37</v>
      </c>
      <c r="E114" t="s">
        <v>1784</v>
      </c>
      <c r="F114">
        <v>5.3</v>
      </c>
      <c r="G114" s="5">
        <v>61000</v>
      </c>
      <c r="H114">
        <v>4</v>
      </c>
      <c r="I114">
        <v>7.2</v>
      </c>
      <c r="J114">
        <v>22</v>
      </c>
      <c r="K114" t="s">
        <v>41</v>
      </c>
    </row>
    <row r="115" spans="1:12">
      <c r="A115" t="s">
        <v>1997</v>
      </c>
      <c r="B115" t="s">
        <v>541</v>
      </c>
      <c r="C115" t="s">
        <v>1805</v>
      </c>
      <c r="D115" t="s">
        <v>37</v>
      </c>
      <c r="E115" t="s">
        <v>1784</v>
      </c>
      <c r="F115">
        <v>5.8</v>
      </c>
      <c r="G115" s="5">
        <v>37000</v>
      </c>
      <c r="H115">
        <v>3</v>
      </c>
      <c r="I115">
        <v>4.5999999999999996</v>
      </c>
      <c r="J115">
        <v>31</v>
      </c>
      <c r="K115" t="s">
        <v>41</v>
      </c>
    </row>
    <row r="116" spans="1:12">
      <c r="A116" t="s">
        <v>1998</v>
      </c>
      <c r="B116" t="s">
        <v>541</v>
      </c>
      <c r="C116" t="s">
        <v>1808</v>
      </c>
      <c r="D116" t="s">
        <v>37</v>
      </c>
      <c r="E116" t="s">
        <v>1806</v>
      </c>
      <c r="F116">
        <v>3.9</v>
      </c>
      <c r="G116" s="5">
        <v>23000</v>
      </c>
      <c r="H116">
        <v>4</v>
      </c>
      <c r="I116">
        <v>6.2</v>
      </c>
      <c r="J116">
        <v>24</v>
      </c>
      <c r="K116" t="s">
        <v>41</v>
      </c>
    </row>
    <row r="117" spans="1:12">
      <c r="A117" t="s">
        <v>1999</v>
      </c>
      <c r="B117" t="s">
        <v>541</v>
      </c>
      <c r="C117" t="s">
        <v>1810</v>
      </c>
      <c r="D117" t="s">
        <v>37</v>
      </c>
      <c r="E117" t="s">
        <v>1784</v>
      </c>
      <c r="F117">
        <v>5.3</v>
      </c>
      <c r="G117" s="5">
        <v>26000</v>
      </c>
      <c r="H117">
        <v>3</v>
      </c>
      <c r="I117">
        <v>7.9</v>
      </c>
      <c r="J117">
        <v>20</v>
      </c>
      <c r="K117" t="s">
        <v>41</v>
      </c>
    </row>
    <row r="118" spans="1:12">
      <c r="A118" t="s">
        <v>2000</v>
      </c>
      <c r="B118" t="s">
        <v>541</v>
      </c>
      <c r="C118" t="s">
        <v>1812</v>
      </c>
      <c r="D118" t="s">
        <v>37</v>
      </c>
      <c r="E118" t="s">
        <v>1778</v>
      </c>
      <c r="F118">
        <v>6.1</v>
      </c>
      <c r="G118" s="5">
        <v>26000</v>
      </c>
      <c r="H118">
        <v>3</v>
      </c>
      <c r="I118">
        <v>11.5</v>
      </c>
      <c r="J118">
        <v>20</v>
      </c>
      <c r="K118" t="s">
        <v>53</v>
      </c>
      <c r="L118" t="s">
        <v>1835</v>
      </c>
    </row>
    <row r="119" spans="1:12">
      <c r="A119" t="s">
        <v>2001</v>
      </c>
      <c r="B119" t="s">
        <v>541</v>
      </c>
      <c r="C119" t="s">
        <v>1814</v>
      </c>
      <c r="D119" t="s">
        <v>37</v>
      </c>
      <c r="E119" t="s">
        <v>1778</v>
      </c>
      <c r="F119">
        <v>2.2999999999999998</v>
      </c>
      <c r="G119" s="5">
        <v>62000</v>
      </c>
      <c r="H119">
        <v>4</v>
      </c>
      <c r="I119">
        <v>8.6999999999999993</v>
      </c>
      <c r="J119">
        <v>29</v>
      </c>
      <c r="K119" t="s">
        <v>41</v>
      </c>
    </row>
    <row r="120" spans="1:12">
      <c r="A120" t="s">
        <v>2002</v>
      </c>
      <c r="B120" t="s">
        <v>541</v>
      </c>
      <c r="C120" t="s">
        <v>1816</v>
      </c>
      <c r="D120" t="s">
        <v>37</v>
      </c>
      <c r="E120" t="s">
        <v>1806</v>
      </c>
      <c r="F120">
        <v>2.8</v>
      </c>
      <c r="G120" s="5">
        <v>56000</v>
      </c>
      <c r="H120">
        <v>3</v>
      </c>
      <c r="I120">
        <v>1.3</v>
      </c>
      <c r="J120">
        <v>22</v>
      </c>
      <c r="K120" t="s">
        <v>41</v>
      </c>
    </row>
    <row r="121" spans="1:12">
      <c r="A121" t="s">
        <v>2003</v>
      </c>
      <c r="B121" t="s">
        <v>541</v>
      </c>
      <c r="C121" t="s">
        <v>1818</v>
      </c>
      <c r="D121" t="s">
        <v>37</v>
      </c>
      <c r="E121" t="s">
        <v>1806</v>
      </c>
      <c r="F121">
        <v>2.8</v>
      </c>
      <c r="G121" s="5">
        <v>36000</v>
      </c>
      <c r="H121">
        <v>5</v>
      </c>
      <c r="I121">
        <v>7.6</v>
      </c>
      <c r="J121">
        <v>11</v>
      </c>
      <c r="K121" t="s">
        <v>41</v>
      </c>
    </row>
    <row r="122" spans="1:12">
      <c r="A122" t="s">
        <v>2004</v>
      </c>
      <c r="B122" t="s">
        <v>541</v>
      </c>
      <c r="C122" t="s">
        <v>1820</v>
      </c>
      <c r="D122" t="s">
        <v>37</v>
      </c>
      <c r="E122" t="s">
        <v>1778</v>
      </c>
      <c r="F122">
        <v>4.0999999999999996</v>
      </c>
      <c r="G122" s="5">
        <v>47000</v>
      </c>
      <c r="H122">
        <v>4</v>
      </c>
      <c r="I122">
        <v>1.1000000000000001</v>
      </c>
      <c r="J122">
        <v>30</v>
      </c>
      <c r="K122" t="s">
        <v>41</v>
      </c>
    </row>
    <row r="123" spans="1:12">
      <c r="A123" t="s">
        <v>2005</v>
      </c>
      <c r="B123" t="s">
        <v>541</v>
      </c>
      <c r="C123" t="s">
        <v>1822</v>
      </c>
      <c r="D123" t="s">
        <v>37</v>
      </c>
      <c r="E123" t="s">
        <v>1778</v>
      </c>
      <c r="F123">
        <v>6.4</v>
      </c>
      <c r="G123" s="5">
        <v>44000</v>
      </c>
      <c r="H123">
        <v>4</v>
      </c>
      <c r="I123">
        <v>4.8</v>
      </c>
      <c r="J123">
        <v>12</v>
      </c>
      <c r="K123" t="s">
        <v>41</v>
      </c>
    </row>
    <row r="124" spans="1:12">
      <c r="A124" t="s">
        <v>2006</v>
      </c>
      <c r="B124" t="s">
        <v>541</v>
      </c>
      <c r="C124" t="s">
        <v>1824</v>
      </c>
      <c r="D124" t="s">
        <v>37</v>
      </c>
      <c r="E124" t="s">
        <v>1775</v>
      </c>
      <c r="F124">
        <v>2.2999999999999998</v>
      </c>
      <c r="G124" s="5">
        <v>49000</v>
      </c>
      <c r="H124">
        <v>3</v>
      </c>
      <c r="I124">
        <v>3.2</v>
      </c>
      <c r="J124">
        <v>11</v>
      </c>
      <c r="K124" t="s">
        <v>41</v>
      </c>
    </row>
    <row r="125" spans="1:12">
      <c r="A125" t="s">
        <v>2007</v>
      </c>
      <c r="B125" t="s">
        <v>541</v>
      </c>
      <c r="C125" t="s">
        <v>1826</v>
      </c>
      <c r="D125" t="s">
        <v>37</v>
      </c>
      <c r="E125" t="s">
        <v>1775</v>
      </c>
      <c r="F125">
        <v>5.3</v>
      </c>
      <c r="G125" s="5">
        <v>52000</v>
      </c>
      <c r="H125">
        <v>1</v>
      </c>
      <c r="I125">
        <v>16.3</v>
      </c>
      <c r="J125">
        <v>26</v>
      </c>
      <c r="K125" t="s">
        <v>53</v>
      </c>
      <c r="L125" t="s">
        <v>1835</v>
      </c>
    </row>
    <row r="126" spans="1:12">
      <c r="A126" t="s">
        <v>2008</v>
      </c>
      <c r="B126" t="s">
        <v>541</v>
      </c>
      <c r="C126" t="s">
        <v>1828</v>
      </c>
      <c r="D126" t="s">
        <v>37</v>
      </c>
      <c r="E126" t="s">
        <v>1778</v>
      </c>
      <c r="F126">
        <v>0.6</v>
      </c>
      <c r="G126" s="5">
        <v>65000</v>
      </c>
      <c r="H126">
        <v>2</v>
      </c>
      <c r="I126">
        <v>12.5</v>
      </c>
      <c r="J126">
        <v>45</v>
      </c>
      <c r="K126" t="s">
        <v>53</v>
      </c>
      <c r="L126" t="s">
        <v>1789</v>
      </c>
    </row>
    <row r="127" spans="1:12">
      <c r="A127" t="s">
        <v>2009</v>
      </c>
      <c r="B127" t="s">
        <v>541</v>
      </c>
      <c r="C127" t="s">
        <v>1830</v>
      </c>
      <c r="D127" t="s">
        <v>37</v>
      </c>
      <c r="E127" t="s">
        <v>1806</v>
      </c>
      <c r="F127">
        <v>4.3</v>
      </c>
      <c r="G127" s="5">
        <v>54000</v>
      </c>
      <c r="H127">
        <v>3</v>
      </c>
      <c r="I127">
        <v>6.1</v>
      </c>
      <c r="J127">
        <v>6</v>
      </c>
      <c r="K127" t="s">
        <v>41</v>
      </c>
    </row>
    <row r="128" spans="1:12">
      <c r="A128" t="s">
        <v>2010</v>
      </c>
      <c r="B128" t="s">
        <v>541</v>
      </c>
      <c r="C128" t="s">
        <v>1832</v>
      </c>
      <c r="D128" t="s">
        <v>37</v>
      </c>
      <c r="E128" t="s">
        <v>1784</v>
      </c>
      <c r="F128">
        <v>6.1</v>
      </c>
      <c r="G128" s="5">
        <v>58000</v>
      </c>
      <c r="H128">
        <v>5</v>
      </c>
      <c r="I128">
        <v>6.3</v>
      </c>
      <c r="J128">
        <v>30</v>
      </c>
      <c r="K128" t="s">
        <v>41</v>
      </c>
    </row>
    <row r="129" spans="1:12">
      <c r="A129" t="s">
        <v>2011</v>
      </c>
      <c r="B129" t="s">
        <v>541</v>
      </c>
      <c r="C129" t="s">
        <v>1834</v>
      </c>
      <c r="D129" t="s">
        <v>37</v>
      </c>
      <c r="E129" t="s">
        <v>1806</v>
      </c>
      <c r="F129">
        <v>6.7</v>
      </c>
      <c r="G129" s="5">
        <v>60000</v>
      </c>
      <c r="H129">
        <v>5</v>
      </c>
      <c r="I129">
        <v>4.4000000000000004</v>
      </c>
      <c r="J129">
        <v>21</v>
      </c>
      <c r="K129" t="s">
        <v>41</v>
      </c>
    </row>
    <row r="130" spans="1:12">
      <c r="A130" t="s">
        <v>2012</v>
      </c>
      <c r="B130" t="s">
        <v>541</v>
      </c>
      <c r="C130" t="s">
        <v>1837</v>
      </c>
      <c r="D130" t="s">
        <v>37</v>
      </c>
      <c r="E130" t="s">
        <v>1784</v>
      </c>
      <c r="F130">
        <v>4.5999999999999996</v>
      </c>
      <c r="G130" s="5">
        <v>30000</v>
      </c>
      <c r="H130">
        <v>3</v>
      </c>
      <c r="I130">
        <v>3.4</v>
      </c>
      <c r="J130">
        <v>13</v>
      </c>
      <c r="K130" t="s">
        <v>41</v>
      </c>
    </row>
    <row r="131" spans="1:12">
      <c r="A131" t="s">
        <v>2013</v>
      </c>
      <c r="B131" t="s">
        <v>541</v>
      </c>
      <c r="C131" t="s">
        <v>1839</v>
      </c>
      <c r="D131" t="s">
        <v>37</v>
      </c>
      <c r="E131" t="s">
        <v>1784</v>
      </c>
      <c r="F131">
        <v>5.3</v>
      </c>
      <c r="G131" s="5">
        <v>38000</v>
      </c>
      <c r="H131">
        <v>4</v>
      </c>
      <c r="I131">
        <v>1.8</v>
      </c>
      <c r="J131">
        <v>29</v>
      </c>
      <c r="K131" t="s">
        <v>41</v>
      </c>
    </row>
    <row r="132" spans="1:12">
      <c r="A132" t="s">
        <v>2014</v>
      </c>
      <c r="B132" t="s">
        <v>541</v>
      </c>
      <c r="C132" t="s">
        <v>1841</v>
      </c>
      <c r="D132" t="s">
        <v>37</v>
      </c>
      <c r="E132" t="s">
        <v>1778</v>
      </c>
      <c r="F132">
        <v>6.5</v>
      </c>
      <c r="G132" s="5">
        <v>60000</v>
      </c>
      <c r="H132">
        <v>4</v>
      </c>
      <c r="I132">
        <v>2.9</v>
      </c>
      <c r="J132">
        <v>28</v>
      </c>
      <c r="K132" t="s">
        <v>41</v>
      </c>
    </row>
    <row r="133" spans="1:12">
      <c r="A133" t="s">
        <v>2015</v>
      </c>
      <c r="B133" t="s">
        <v>541</v>
      </c>
      <c r="C133" t="s">
        <v>1843</v>
      </c>
      <c r="D133" t="s">
        <v>37</v>
      </c>
      <c r="E133" t="s">
        <v>1775</v>
      </c>
      <c r="F133">
        <v>1.7</v>
      </c>
      <c r="G133" s="5">
        <v>30000</v>
      </c>
      <c r="H133">
        <v>5</v>
      </c>
      <c r="I133">
        <v>7</v>
      </c>
      <c r="J133">
        <v>15</v>
      </c>
      <c r="K133" t="s">
        <v>41</v>
      </c>
    </row>
    <row r="134" spans="1:12">
      <c r="A134" t="s">
        <v>2016</v>
      </c>
      <c r="B134" t="s">
        <v>541</v>
      </c>
      <c r="C134" t="s">
        <v>1845</v>
      </c>
      <c r="D134" t="s">
        <v>37</v>
      </c>
      <c r="E134" t="s">
        <v>1806</v>
      </c>
      <c r="F134">
        <v>4.5999999999999996</v>
      </c>
      <c r="G134" s="5">
        <v>32000</v>
      </c>
      <c r="H134">
        <v>2</v>
      </c>
      <c r="I134">
        <v>16.3</v>
      </c>
      <c r="J134">
        <v>40</v>
      </c>
      <c r="K134" t="s">
        <v>53</v>
      </c>
      <c r="L134" t="s">
        <v>1835</v>
      </c>
    </row>
    <row r="135" spans="1:12">
      <c r="A135" t="s">
        <v>2017</v>
      </c>
      <c r="B135" t="s">
        <v>541</v>
      </c>
      <c r="C135" t="s">
        <v>1847</v>
      </c>
      <c r="D135" t="s">
        <v>37</v>
      </c>
      <c r="E135" t="s">
        <v>1778</v>
      </c>
      <c r="F135">
        <v>1.6</v>
      </c>
      <c r="G135" s="5">
        <v>29000</v>
      </c>
      <c r="H135">
        <v>2</v>
      </c>
      <c r="I135">
        <v>10.4</v>
      </c>
      <c r="J135">
        <v>45</v>
      </c>
      <c r="K135" t="s">
        <v>53</v>
      </c>
      <c r="L135" t="s">
        <v>1835</v>
      </c>
    </row>
    <row r="136" spans="1:12">
      <c r="A136" t="s">
        <v>2018</v>
      </c>
      <c r="B136" t="s">
        <v>541</v>
      </c>
      <c r="C136" t="s">
        <v>1849</v>
      </c>
      <c r="D136" t="s">
        <v>37</v>
      </c>
      <c r="E136" t="s">
        <v>1806</v>
      </c>
      <c r="F136">
        <v>7.1</v>
      </c>
      <c r="G136" s="5">
        <v>58000</v>
      </c>
      <c r="H136">
        <v>3</v>
      </c>
      <c r="I136">
        <v>8.3000000000000007</v>
      </c>
      <c r="J136">
        <v>46</v>
      </c>
      <c r="K136" t="s">
        <v>53</v>
      </c>
      <c r="L136" t="s">
        <v>1950</v>
      </c>
    </row>
    <row r="137" spans="1:12">
      <c r="A137" t="s">
        <v>2019</v>
      </c>
      <c r="B137" t="s">
        <v>541</v>
      </c>
      <c r="C137" t="s">
        <v>1851</v>
      </c>
      <c r="D137" t="s">
        <v>37</v>
      </c>
      <c r="E137" t="s">
        <v>1778</v>
      </c>
      <c r="F137">
        <v>5.5</v>
      </c>
      <c r="G137" s="5">
        <v>57000</v>
      </c>
      <c r="H137">
        <v>3</v>
      </c>
      <c r="I137">
        <v>5.0999999999999996</v>
      </c>
      <c r="J137">
        <v>19</v>
      </c>
      <c r="K137" t="s">
        <v>41</v>
      </c>
    </row>
    <row r="138" spans="1:12">
      <c r="A138" t="s">
        <v>2020</v>
      </c>
      <c r="B138" t="s">
        <v>541</v>
      </c>
      <c r="C138" t="s">
        <v>1853</v>
      </c>
      <c r="D138" t="s">
        <v>37</v>
      </c>
      <c r="E138" t="s">
        <v>1778</v>
      </c>
      <c r="F138">
        <v>6.2</v>
      </c>
      <c r="G138" s="5">
        <v>22000</v>
      </c>
      <c r="H138">
        <v>3</v>
      </c>
      <c r="I138">
        <v>2.2999999999999998</v>
      </c>
      <c r="J138">
        <v>6</v>
      </c>
      <c r="K138" t="s">
        <v>41</v>
      </c>
    </row>
    <row r="139" spans="1:12">
      <c r="A139" t="s">
        <v>2021</v>
      </c>
      <c r="B139" t="s">
        <v>541</v>
      </c>
      <c r="C139" t="s">
        <v>1855</v>
      </c>
      <c r="D139" t="s">
        <v>37</v>
      </c>
      <c r="E139" t="s">
        <v>1778</v>
      </c>
      <c r="F139">
        <v>0.6</v>
      </c>
      <c r="G139" s="5">
        <v>55000</v>
      </c>
      <c r="H139">
        <v>3</v>
      </c>
      <c r="I139">
        <v>2.8</v>
      </c>
      <c r="J139">
        <v>31</v>
      </c>
      <c r="K139" t="s">
        <v>41</v>
      </c>
    </row>
    <row r="140" spans="1:12">
      <c r="A140" t="s">
        <v>2022</v>
      </c>
      <c r="B140" t="s">
        <v>541</v>
      </c>
      <c r="C140" t="s">
        <v>1857</v>
      </c>
      <c r="D140" t="s">
        <v>37</v>
      </c>
      <c r="E140" t="s">
        <v>1778</v>
      </c>
      <c r="F140">
        <v>0.8</v>
      </c>
      <c r="G140" s="5">
        <v>23000</v>
      </c>
      <c r="H140">
        <v>4</v>
      </c>
      <c r="I140">
        <v>4.7</v>
      </c>
      <c r="J140">
        <v>15</v>
      </c>
      <c r="K140" t="s">
        <v>41</v>
      </c>
    </row>
    <row r="141" spans="1:12">
      <c r="A141" t="s">
        <v>2023</v>
      </c>
      <c r="B141" t="s">
        <v>541</v>
      </c>
      <c r="C141" t="s">
        <v>1859</v>
      </c>
      <c r="D141" t="s">
        <v>37</v>
      </c>
      <c r="E141" t="s">
        <v>1784</v>
      </c>
      <c r="F141">
        <v>5.5</v>
      </c>
      <c r="G141" s="5">
        <v>29000</v>
      </c>
      <c r="H141">
        <v>5</v>
      </c>
      <c r="I141">
        <v>7.7</v>
      </c>
      <c r="J141">
        <v>22</v>
      </c>
      <c r="K141" t="s">
        <v>41</v>
      </c>
    </row>
    <row r="142" spans="1:12">
      <c r="A142" t="s">
        <v>2024</v>
      </c>
      <c r="B142" t="s">
        <v>541</v>
      </c>
      <c r="C142" t="s">
        <v>1861</v>
      </c>
      <c r="D142" t="s">
        <v>231</v>
      </c>
      <c r="E142" t="s">
        <v>1775</v>
      </c>
      <c r="F142">
        <v>7</v>
      </c>
      <c r="G142" s="5">
        <v>63000</v>
      </c>
      <c r="H142">
        <v>1</v>
      </c>
      <c r="I142">
        <v>17.2</v>
      </c>
      <c r="J142">
        <v>27</v>
      </c>
      <c r="K142" t="s">
        <v>53</v>
      </c>
      <c r="L142" t="s">
        <v>1950</v>
      </c>
    </row>
    <row r="143" spans="1:12">
      <c r="A143" t="s">
        <v>2025</v>
      </c>
      <c r="B143" t="s">
        <v>541</v>
      </c>
      <c r="C143" t="s">
        <v>1863</v>
      </c>
      <c r="D143" t="s">
        <v>231</v>
      </c>
      <c r="E143" t="s">
        <v>1778</v>
      </c>
      <c r="F143">
        <v>6</v>
      </c>
      <c r="G143" s="5">
        <v>39000</v>
      </c>
      <c r="H143">
        <v>3</v>
      </c>
      <c r="I143">
        <v>5.7</v>
      </c>
      <c r="J143">
        <v>27</v>
      </c>
      <c r="K143" t="s">
        <v>41</v>
      </c>
    </row>
    <row r="144" spans="1:12">
      <c r="A144" t="s">
        <v>2026</v>
      </c>
      <c r="B144" t="s">
        <v>541</v>
      </c>
      <c r="C144" t="s">
        <v>1867</v>
      </c>
      <c r="D144" t="s">
        <v>231</v>
      </c>
      <c r="E144" t="s">
        <v>1864</v>
      </c>
      <c r="F144">
        <v>1.9</v>
      </c>
      <c r="G144" s="5">
        <v>41000</v>
      </c>
      <c r="H144">
        <v>3</v>
      </c>
      <c r="I144">
        <v>15.8</v>
      </c>
      <c r="J144">
        <v>44</v>
      </c>
      <c r="K144" t="s">
        <v>53</v>
      </c>
      <c r="L144" t="s">
        <v>1865</v>
      </c>
    </row>
    <row r="145" spans="1:12">
      <c r="A145" t="s">
        <v>2027</v>
      </c>
      <c r="B145" t="s">
        <v>541</v>
      </c>
      <c r="C145" t="s">
        <v>1869</v>
      </c>
      <c r="D145" t="s">
        <v>231</v>
      </c>
      <c r="E145" t="s">
        <v>1778</v>
      </c>
      <c r="F145">
        <v>0.7</v>
      </c>
      <c r="G145" s="5">
        <v>34000</v>
      </c>
      <c r="H145">
        <v>5</v>
      </c>
      <c r="I145">
        <v>3.5</v>
      </c>
      <c r="J145">
        <v>24</v>
      </c>
      <c r="K145" t="s">
        <v>41</v>
      </c>
    </row>
    <row r="146" spans="1:12">
      <c r="A146" t="s">
        <v>2028</v>
      </c>
      <c r="B146" t="s">
        <v>541</v>
      </c>
      <c r="C146" t="s">
        <v>1871</v>
      </c>
      <c r="D146" t="s">
        <v>231</v>
      </c>
      <c r="E146" t="s">
        <v>1784</v>
      </c>
      <c r="F146">
        <v>6.9</v>
      </c>
      <c r="G146" s="5">
        <v>22000</v>
      </c>
      <c r="H146">
        <v>3</v>
      </c>
      <c r="I146">
        <v>4.7</v>
      </c>
      <c r="J146">
        <v>27</v>
      </c>
      <c r="K146" t="s">
        <v>41</v>
      </c>
    </row>
    <row r="147" spans="1:12">
      <c r="A147" t="s">
        <v>2029</v>
      </c>
      <c r="B147" t="s">
        <v>541</v>
      </c>
      <c r="C147" t="s">
        <v>1873</v>
      </c>
      <c r="D147" t="s">
        <v>231</v>
      </c>
      <c r="E147" t="s">
        <v>1775</v>
      </c>
      <c r="F147">
        <v>7.2</v>
      </c>
      <c r="G147" s="5">
        <v>59000</v>
      </c>
      <c r="H147">
        <v>2</v>
      </c>
      <c r="I147">
        <v>16.2</v>
      </c>
      <c r="J147">
        <v>28</v>
      </c>
      <c r="K147" t="s">
        <v>53</v>
      </c>
      <c r="L147" t="s">
        <v>1865</v>
      </c>
    </row>
    <row r="148" spans="1:12">
      <c r="A148" t="s">
        <v>2030</v>
      </c>
      <c r="B148" t="s">
        <v>541</v>
      </c>
      <c r="C148" t="s">
        <v>1875</v>
      </c>
      <c r="D148" t="s">
        <v>231</v>
      </c>
      <c r="E148" t="s">
        <v>1778</v>
      </c>
      <c r="F148">
        <v>6.8</v>
      </c>
      <c r="G148" s="5">
        <v>24000</v>
      </c>
      <c r="H148">
        <v>4</v>
      </c>
      <c r="I148">
        <v>7.7</v>
      </c>
      <c r="J148">
        <v>13</v>
      </c>
      <c r="K148" t="s">
        <v>41</v>
      </c>
    </row>
    <row r="149" spans="1:12">
      <c r="A149" t="s">
        <v>2031</v>
      </c>
      <c r="B149" t="s">
        <v>541</v>
      </c>
      <c r="C149" t="s">
        <v>1877</v>
      </c>
      <c r="D149" t="s">
        <v>231</v>
      </c>
      <c r="E149" t="s">
        <v>1784</v>
      </c>
      <c r="F149">
        <v>3.5</v>
      </c>
      <c r="G149" s="5">
        <v>27000</v>
      </c>
      <c r="H149">
        <v>4</v>
      </c>
      <c r="I149">
        <v>4.5</v>
      </c>
      <c r="J149">
        <v>31</v>
      </c>
      <c r="K149" t="s">
        <v>41</v>
      </c>
    </row>
    <row r="150" spans="1:12">
      <c r="A150" t="s">
        <v>2032</v>
      </c>
      <c r="B150" t="s">
        <v>541</v>
      </c>
      <c r="C150" t="s">
        <v>1879</v>
      </c>
      <c r="D150" t="s">
        <v>231</v>
      </c>
      <c r="E150" t="s">
        <v>1784</v>
      </c>
      <c r="F150">
        <v>6.9</v>
      </c>
      <c r="G150" s="5">
        <v>41000</v>
      </c>
      <c r="H150">
        <v>3</v>
      </c>
      <c r="I150">
        <v>1.1000000000000001</v>
      </c>
      <c r="J150">
        <v>23</v>
      </c>
      <c r="K150" t="s">
        <v>41</v>
      </c>
    </row>
    <row r="151" spans="1:12">
      <c r="A151" t="s">
        <v>2033</v>
      </c>
      <c r="B151" t="s">
        <v>541</v>
      </c>
      <c r="C151" t="s">
        <v>1881</v>
      </c>
      <c r="D151" t="s">
        <v>231</v>
      </c>
      <c r="E151" t="s">
        <v>1864</v>
      </c>
      <c r="F151">
        <v>7.4</v>
      </c>
      <c r="G151" s="5">
        <v>22000</v>
      </c>
      <c r="H151">
        <v>1</v>
      </c>
      <c r="I151">
        <v>15.1</v>
      </c>
      <c r="J151">
        <v>42</v>
      </c>
      <c r="K151" t="s">
        <v>53</v>
      </c>
      <c r="L151" t="s">
        <v>1865</v>
      </c>
    </row>
    <row r="152" spans="1:12">
      <c r="A152" t="s">
        <v>2034</v>
      </c>
      <c r="B152" t="s">
        <v>541</v>
      </c>
      <c r="C152" t="s">
        <v>1883</v>
      </c>
      <c r="D152" t="s">
        <v>231</v>
      </c>
      <c r="E152" t="s">
        <v>1775</v>
      </c>
      <c r="F152">
        <v>5.9</v>
      </c>
      <c r="G152" s="5">
        <v>52000</v>
      </c>
      <c r="H152">
        <v>5</v>
      </c>
      <c r="I152">
        <v>3.6</v>
      </c>
      <c r="J152">
        <v>15</v>
      </c>
      <c r="K152" t="s">
        <v>41</v>
      </c>
    </row>
    <row r="153" spans="1:12">
      <c r="A153" t="s">
        <v>2035</v>
      </c>
      <c r="B153" t="s">
        <v>541</v>
      </c>
      <c r="C153" t="s">
        <v>1885</v>
      </c>
      <c r="D153" t="s">
        <v>231</v>
      </c>
      <c r="E153" t="s">
        <v>1775</v>
      </c>
      <c r="F153">
        <v>5.9</v>
      </c>
      <c r="G153" s="5">
        <v>34000</v>
      </c>
      <c r="H153">
        <v>1</v>
      </c>
      <c r="I153">
        <v>13.2</v>
      </c>
      <c r="J153">
        <v>20</v>
      </c>
      <c r="K153" t="s">
        <v>53</v>
      </c>
      <c r="L153" t="s">
        <v>1865</v>
      </c>
    </row>
    <row r="154" spans="1:12">
      <c r="A154" t="s">
        <v>2036</v>
      </c>
      <c r="B154" t="s">
        <v>541</v>
      </c>
      <c r="C154" t="s">
        <v>1887</v>
      </c>
      <c r="D154" t="s">
        <v>231</v>
      </c>
      <c r="E154" t="s">
        <v>1864</v>
      </c>
      <c r="F154">
        <v>3.1</v>
      </c>
      <c r="G154" s="5">
        <v>58000</v>
      </c>
      <c r="H154">
        <v>3</v>
      </c>
      <c r="I154">
        <v>13.5</v>
      </c>
      <c r="J154">
        <v>29</v>
      </c>
      <c r="K154" t="s">
        <v>53</v>
      </c>
      <c r="L154" t="s">
        <v>1835</v>
      </c>
    </row>
    <row r="155" spans="1:12">
      <c r="A155" t="s">
        <v>2037</v>
      </c>
      <c r="B155" t="s">
        <v>541</v>
      </c>
      <c r="C155" t="s">
        <v>1889</v>
      </c>
      <c r="D155" t="s">
        <v>231</v>
      </c>
      <c r="E155" t="s">
        <v>1784</v>
      </c>
      <c r="F155">
        <v>6</v>
      </c>
      <c r="G155" s="5">
        <v>55000</v>
      </c>
      <c r="H155">
        <v>5</v>
      </c>
      <c r="I155">
        <v>4.2</v>
      </c>
      <c r="J155">
        <v>15</v>
      </c>
      <c r="K155" t="s">
        <v>41</v>
      </c>
    </row>
    <row r="156" spans="1:12">
      <c r="A156" t="s">
        <v>2038</v>
      </c>
      <c r="B156" t="s">
        <v>541</v>
      </c>
      <c r="C156" t="s">
        <v>1891</v>
      </c>
      <c r="D156" t="s">
        <v>231</v>
      </c>
      <c r="E156" t="s">
        <v>1778</v>
      </c>
      <c r="F156">
        <v>3.8</v>
      </c>
      <c r="G156" s="5">
        <v>65000</v>
      </c>
      <c r="H156">
        <v>3</v>
      </c>
      <c r="I156">
        <v>5.3</v>
      </c>
      <c r="J156">
        <v>20</v>
      </c>
      <c r="K156" t="s">
        <v>41</v>
      </c>
    </row>
    <row r="157" spans="1:12">
      <c r="A157" t="s">
        <v>2039</v>
      </c>
      <c r="B157" t="s">
        <v>541</v>
      </c>
      <c r="C157" t="s">
        <v>1893</v>
      </c>
      <c r="D157" t="s">
        <v>231</v>
      </c>
      <c r="E157" t="s">
        <v>1775</v>
      </c>
      <c r="F157">
        <v>0.7</v>
      </c>
      <c r="G157" s="5">
        <v>59000</v>
      </c>
      <c r="H157">
        <v>4</v>
      </c>
      <c r="I157">
        <v>7.3</v>
      </c>
      <c r="J157">
        <v>5</v>
      </c>
      <c r="K157" t="s">
        <v>41</v>
      </c>
    </row>
    <row r="158" spans="1:12">
      <c r="A158" t="s">
        <v>2040</v>
      </c>
      <c r="B158" t="s">
        <v>541</v>
      </c>
      <c r="C158" t="s">
        <v>1895</v>
      </c>
      <c r="D158" t="s">
        <v>231</v>
      </c>
      <c r="E158" t="s">
        <v>1778</v>
      </c>
      <c r="F158">
        <v>4.5</v>
      </c>
      <c r="G158" s="5">
        <v>46000</v>
      </c>
      <c r="H158">
        <v>4</v>
      </c>
      <c r="I158">
        <v>2.4</v>
      </c>
      <c r="J158">
        <v>17</v>
      </c>
      <c r="K158" t="s">
        <v>41</v>
      </c>
    </row>
    <row r="159" spans="1:12">
      <c r="A159" t="s">
        <v>2041</v>
      </c>
      <c r="B159" t="s">
        <v>541</v>
      </c>
      <c r="C159" t="s">
        <v>1897</v>
      </c>
      <c r="D159" t="s">
        <v>231</v>
      </c>
      <c r="E159" t="s">
        <v>1864</v>
      </c>
      <c r="F159">
        <v>0.7</v>
      </c>
      <c r="G159" s="5">
        <v>27000</v>
      </c>
      <c r="H159">
        <v>3</v>
      </c>
      <c r="I159">
        <v>6.5</v>
      </c>
      <c r="J159">
        <v>10</v>
      </c>
      <c r="K159" t="s">
        <v>41</v>
      </c>
    </row>
    <row r="160" spans="1:12">
      <c r="A160" t="s">
        <v>2042</v>
      </c>
      <c r="B160" t="s">
        <v>541</v>
      </c>
      <c r="C160" t="s">
        <v>1899</v>
      </c>
      <c r="D160" t="s">
        <v>231</v>
      </c>
      <c r="E160" t="s">
        <v>1775</v>
      </c>
      <c r="F160">
        <v>3.7</v>
      </c>
      <c r="G160" s="5">
        <v>62000</v>
      </c>
      <c r="H160">
        <v>2</v>
      </c>
      <c r="I160">
        <v>12.3</v>
      </c>
      <c r="J160">
        <v>42</v>
      </c>
      <c r="K160" t="s">
        <v>53</v>
      </c>
      <c r="L160" t="s">
        <v>1835</v>
      </c>
    </row>
    <row r="161" spans="1:12">
      <c r="A161" t="s">
        <v>2043</v>
      </c>
      <c r="B161" t="s">
        <v>541</v>
      </c>
      <c r="C161" t="s">
        <v>1901</v>
      </c>
      <c r="D161" t="s">
        <v>231</v>
      </c>
      <c r="E161" t="s">
        <v>1864</v>
      </c>
      <c r="F161">
        <v>3.2</v>
      </c>
      <c r="G161" s="5">
        <v>41000</v>
      </c>
      <c r="H161">
        <v>5</v>
      </c>
      <c r="I161">
        <v>5.5</v>
      </c>
      <c r="J161">
        <v>30</v>
      </c>
      <c r="K161" t="s">
        <v>41</v>
      </c>
    </row>
    <row r="162" spans="1:12">
      <c r="A162" t="s">
        <v>2044</v>
      </c>
      <c r="B162" t="s">
        <v>541</v>
      </c>
      <c r="C162" t="s">
        <v>1903</v>
      </c>
      <c r="D162" t="s">
        <v>231</v>
      </c>
      <c r="E162" t="s">
        <v>1775</v>
      </c>
      <c r="F162">
        <v>7</v>
      </c>
      <c r="G162" s="5">
        <v>26000</v>
      </c>
      <c r="H162">
        <v>3</v>
      </c>
      <c r="I162">
        <v>5.4</v>
      </c>
      <c r="J162">
        <v>3</v>
      </c>
      <c r="K162" t="s">
        <v>41</v>
      </c>
    </row>
    <row r="163" spans="1:12">
      <c r="A163" t="s">
        <v>2045</v>
      </c>
      <c r="B163" t="s">
        <v>541</v>
      </c>
      <c r="C163" t="s">
        <v>1905</v>
      </c>
      <c r="D163" t="s">
        <v>231</v>
      </c>
      <c r="E163" t="s">
        <v>1775</v>
      </c>
      <c r="F163">
        <v>7.3</v>
      </c>
      <c r="G163" s="5">
        <v>29000</v>
      </c>
      <c r="H163">
        <v>4</v>
      </c>
      <c r="I163">
        <v>3.9</v>
      </c>
      <c r="J163">
        <v>19</v>
      </c>
      <c r="K163" t="s">
        <v>41</v>
      </c>
    </row>
    <row r="164" spans="1:12">
      <c r="A164" t="s">
        <v>2046</v>
      </c>
      <c r="B164" t="s">
        <v>541</v>
      </c>
      <c r="C164" t="s">
        <v>1907</v>
      </c>
      <c r="D164" t="s">
        <v>231</v>
      </c>
      <c r="E164" t="s">
        <v>1778</v>
      </c>
      <c r="F164">
        <v>5.2</v>
      </c>
      <c r="G164" s="5">
        <v>30000</v>
      </c>
      <c r="H164">
        <v>4</v>
      </c>
      <c r="I164">
        <v>4.9000000000000004</v>
      </c>
      <c r="J164">
        <v>12</v>
      </c>
      <c r="K164" t="s">
        <v>41</v>
      </c>
    </row>
    <row r="165" spans="1:12">
      <c r="A165" t="s">
        <v>2047</v>
      </c>
      <c r="B165" t="s">
        <v>541</v>
      </c>
      <c r="C165" t="s">
        <v>1909</v>
      </c>
      <c r="D165" t="s">
        <v>231</v>
      </c>
      <c r="E165" t="s">
        <v>1864</v>
      </c>
      <c r="F165">
        <v>6</v>
      </c>
      <c r="G165" s="5">
        <v>28000</v>
      </c>
      <c r="H165">
        <v>4</v>
      </c>
      <c r="I165">
        <v>3.4</v>
      </c>
      <c r="J165">
        <v>22</v>
      </c>
      <c r="K165" t="s">
        <v>41</v>
      </c>
    </row>
    <row r="166" spans="1:12">
      <c r="A166" t="s">
        <v>2048</v>
      </c>
      <c r="B166" t="s">
        <v>541</v>
      </c>
      <c r="C166" t="s">
        <v>1911</v>
      </c>
      <c r="D166" t="s">
        <v>231</v>
      </c>
      <c r="E166" t="s">
        <v>1864</v>
      </c>
      <c r="F166">
        <v>2.5</v>
      </c>
      <c r="G166" s="5">
        <v>60000</v>
      </c>
      <c r="H166">
        <v>5</v>
      </c>
      <c r="I166">
        <v>6.4</v>
      </c>
      <c r="J166">
        <v>29</v>
      </c>
      <c r="K166" t="s">
        <v>41</v>
      </c>
    </row>
    <row r="167" spans="1:12">
      <c r="A167" t="s">
        <v>2049</v>
      </c>
      <c r="B167" t="s">
        <v>541</v>
      </c>
      <c r="C167" t="s">
        <v>1913</v>
      </c>
      <c r="D167" t="s">
        <v>231</v>
      </c>
      <c r="E167" t="s">
        <v>1775</v>
      </c>
      <c r="F167">
        <v>1.7</v>
      </c>
      <c r="G167" s="5">
        <v>31000</v>
      </c>
      <c r="H167">
        <v>3</v>
      </c>
      <c r="I167">
        <v>17.399999999999999</v>
      </c>
      <c r="J167">
        <v>33</v>
      </c>
      <c r="K167" t="s">
        <v>53</v>
      </c>
      <c r="L167" t="s">
        <v>1835</v>
      </c>
    </row>
    <row r="168" spans="1:12">
      <c r="A168" t="s">
        <v>2050</v>
      </c>
      <c r="B168" t="s">
        <v>541</v>
      </c>
      <c r="C168" t="s">
        <v>1915</v>
      </c>
      <c r="D168" t="s">
        <v>231</v>
      </c>
      <c r="E168" t="s">
        <v>1778</v>
      </c>
      <c r="F168">
        <v>3.6</v>
      </c>
      <c r="G168" s="5">
        <v>38000</v>
      </c>
      <c r="H168">
        <v>4</v>
      </c>
      <c r="I168">
        <v>3.7</v>
      </c>
      <c r="J168">
        <v>21</v>
      </c>
      <c r="K168" t="s">
        <v>41</v>
      </c>
    </row>
    <row r="169" spans="1:12">
      <c r="A169" t="s">
        <v>2051</v>
      </c>
      <c r="B169" t="s">
        <v>541</v>
      </c>
      <c r="C169" t="s">
        <v>1917</v>
      </c>
      <c r="D169" t="s">
        <v>231</v>
      </c>
      <c r="E169" t="s">
        <v>1778</v>
      </c>
      <c r="F169">
        <v>6.3</v>
      </c>
      <c r="G169" s="5">
        <v>44000</v>
      </c>
      <c r="H169">
        <v>4</v>
      </c>
      <c r="I169">
        <v>3.1</v>
      </c>
      <c r="J169">
        <v>7</v>
      </c>
      <c r="K169" t="s">
        <v>41</v>
      </c>
    </row>
    <row r="170" spans="1:12">
      <c r="A170" t="s">
        <v>2052</v>
      </c>
      <c r="B170" t="s">
        <v>541</v>
      </c>
      <c r="C170" t="s">
        <v>1919</v>
      </c>
      <c r="D170" t="s">
        <v>231</v>
      </c>
      <c r="E170" t="s">
        <v>1778</v>
      </c>
      <c r="F170">
        <v>2.7</v>
      </c>
      <c r="G170" s="5">
        <v>54000</v>
      </c>
      <c r="H170">
        <v>4</v>
      </c>
      <c r="I170">
        <v>4</v>
      </c>
      <c r="J170">
        <v>29</v>
      </c>
      <c r="K170" t="s">
        <v>41</v>
      </c>
    </row>
    <row r="171" spans="1:12">
      <c r="A171" t="s">
        <v>2053</v>
      </c>
      <c r="B171" t="s">
        <v>541</v>
      </c>
      <c r="C171" t="s">
        <v>1921</v>
      </c>
      <c r="D171" t="s">
        <v>231</v>
      </c>
      <c r="E171" t="s">
        <v>1864</v>
      </c>
      <c r="F171">
        <v>1.4</v>
      </c>
      <c r="G171" s="5">
        <v>45000</v>
      </c>
      <c r="H171">
        <v>3</v>
      </c>
      <c r="I171">
        <v>1</v>
      </c>
      <c r="J171">
        <v>21</v>
      </c>
      <c r="K171" t="s">
        <v>41</v>
      </c>
    </row>
    <row r="172" spans="1:12">
      <c r="A172" t="s">
        <v>2054</v>
      </c>
      <c r="B172" t="s">
        <v>541</v>
      </c>
      <c r="C172" t="s">
        <v>1923</v>
      </c>
      <c r="D172" t="s">
        <v>231</v>
      </c>
      <c r="E172" t="s">
        <v>1778</v>
      </c>
      <c r="F172">
        <v>7.1</v>
      </c>
      <c r="G172" s="5">
        <v>25000</v>
      </c>
      <c r="H172">
        <v>4</v>
      </c>
      <c r="I172">
        <v>7.6</v>
      </c>
      <c r="J172">
        <v>25</v>
      </c>
      <c r="K172" t="s">
        <v>41</v>
      </c>
    </row>
    <row r="173" spans="1:12">
      <c r="A173" t="s">
        <v>2055</v>
      </c>
      <c r="B173" t="s">
        <v>541</v>
      </c>
      <c r="C173" t="s">
        <v>1925</v>
      </c>
      <c r="D173" t="s">
        <v>231</v>
      </c>
      <c r="E173" t="s">
        <v>1775</v>
      </c>
      <c r="F173">
        <v>3.4</v>
      </c>
      <c r="G173" s="5">
        <v>25000</v>
      </c>
      <c r="H173">
        <v>1</v>
      </c>
      <c r="I173">
        <v>14.3</v>
      </c>
      <c r="J173">
        <v>27</v>
      </c>
      <c r="K173" t="s">
        <v>53</v>
      </c>
      <c r="L173" t="s">
        <v>1865</v>
      </c>
    </row>
    <row r="174" spans="1:12">
      <c r="A174" t="s">
        <v>2056</v>
      </c>
      <c r="B174" t="s">
        <v>541</v>
      </c>
      <c r="C174" t="s">
        <v>1927</v>
      </c>
      <c r="D174" t="s">
        <v>231</v>
      </c>
      <c r="E174" t="s">
        <v>1775</v>
      </c>
      <c r="F174">
        <v>6.4</v>
      </c>
      <c r="G174" s="5">
        <v>52000</v>
      </c>
      <c r="H174">
        <v>3</v>
      </c>
      <c r="I174">
        <v>2.7</v>
      </c>
      <c r="J174">
        <v>7</v>
      </c>
      <c r="K174" t="s">
        <v>41</v>
      </c>
    </row>
    <row r="175" spans="1:12">
      <c r="A175" t="s">
        <v>2057</v>
      </c>
      <c r="B175" t="s">
        <v>541</v>
      </c>
      <c r="C175" t="s">
        <v>1929</v>
      </c>
      <c r="D175" t="s">
        <v>231</v>
      </c>
      <c r="E175" t="s">
        <v>1775</v>
      </c>
      <c r="F175">
        <v>6.7</v>
      </c>
      <c r="G175" s="5">
        <v>39000</v>
      </c>
      <c r="H175">
        <v>3</v>
      </c>
      <c r="I175">
        <v>5</v>
      </c>
      <c r="J175">
        <v>32</v>
      </c>
      <c r="K175" t="s">
        <v>41</v>
      </c>
    </row>
    <row r="176" spans="1:12">
      <c r="A176" t="s">
        <v>2058</v>
      </c>
      <c r="B176" t="s">
        <v>541</v>
      </c>
      <c r="C176" t="s">
        <v>1931</v>
      </c>
      <c r="D176" t="s">
        <v>231</v>
      </c>
      <c r="E176" t="s">
        <v>1864</v>
      </c>
      <c r="F176">
        <v>1.6</v>
      </c>
      <c r="G176" s="5">
        <v>38000</v>
      </c>
      <c r="H176">
        <v>3</v>
      </c>
      <c r="I176">
        <v>1.5</v>
      </c>
      <c r="J176">
        <v>18</v>
      </c>
      <c r="K176" t="s">
        <v>41</v>
      </c>
    </row>
    <row r="177" spans="1:12">
      <c r="A177" t="s">
        <v>2059</v>
      </c>
      <c r="B177" t="s">
        <v>541</v>
      </c>
      <c r="C177" t="s">
        <v>1933</v>
      </c>
      <c r="D177" t="s">
        <v>396</v>
      </c>
      <c r="E177" t="s">
        <v>1957</v>
      </c>
      <c r="F177">
        <v>0.5</v>
      </c>
      <c r="G177" s="5">
        <v>26000</v>
      </c>
      <c r="H177">
        <v>4</v>
      </c>
      <c r="I177">
        <v>1.6</v>
      </c>
      <c r="J177">
        <v>32</v>
      </c>
      <c r="K177" t="s">
        <v>41</v>
      </c>
    </row>
    <row r="178" spans="1:12">
      <c r="A178" t="s">
        <v>2060</v>
      </c>
      <c r="B178" t="s">
        <v>541</v>
      </c>
      <c r="C178" t="s">
        <v>1935</v>
      </c>
      <c r="D178" t="s">
        <v>396</v>
      </c>
      <c r="E178" t="s">
        <v>1778</v>
      </c>
      <c r="F178">
        <v>1.1000000000000001</v>
      </c>
      <c r="G178" s="5">
        <v>58000</v>
      </c>
      <c r="H178">
        <v>3</v>
      </c>
      <c r="I178">
        <v>7.3</v>
      </c>
      <c r="J178">
        <v>20</v>
      </c>
      <c r="K178" t="s">
        <v>41</v>
      </c>
    </row>
    <row r="179" spans="1:12">
      <c r="A179" t="s">
        <v>2061</v>
      </c>
      <c r="B179" t="s">
        <v>541</v>
      </c>
      <c r="C179" t="s">
        <v>1937</v>
      </c>
      <c r="D179" t="s">
        <v>396</v>
      </c>
      <c r="E179" t="s">
        <v>1806</v>
      </c>
      <c r="F179">
        <v>6.4</v>
      </c>
      <c r="G179" s="5">
        <v>28000</v>
      </c>
      <c r="H179">
        <v>2</v>
      </c>
      <c r="I179">
        <v>17.7</v>
      </c>
      <c r="J179">
        <v>39</v>
      </c>
      <c r="K179" t="s">
        <v>53</v>
      </c>
      <c r="L179" t="s">
        <v>1779</v>
      </c>
    </row>
    <row r="180" spans="1:12">
      <c r="A180" t="s">
        <v>2062</v>
      </c>
      <c r="B180" t="s">
        <v>541</v>
      </c>
      <c r="C180" t="s">
        <v>1939</v>
      </c>
      <c r="D180" t="s">
        <v>396</v>
      </c>
      <c r="E180" t="s">
        <v>1778</v>
      </c>
      <c r="F180">
        <v>5.7</v>
      </c>
      <c r="G180" s="5">
        <v>36000</v>
      </c>
      <c r="H180">
        <v>4</v>
      </c>
      <c r="I180">
        <v>2.5</v>
      </c>
      <c r="J180">
        <v>5</v>
      </c>
      <c r="K180" t="s">
        <v>41</v>
      </c>
    </row>
    <row r="181" spans="1:12">
      <c r="A181" t="s">
        <v>2063</v>
      </c>
      <c r="B181" t="s">
        <v>541</v>
      </c>
      <c r="C181" t="s">
        <v>1941</v>
      </c>
      <c r="D181" t="s">
        <v>396</v>
      </c>
      <c r="E181" t="s">
        <v>1806</v>
      </c>
      <c r="F181">
        <v>1.9</v>
      </c>
      <c r="G181" s="5">
        <v>24000</v>
      </c>
      <c r="H181">
        <v>3</v>
      </c>
      <c r="I181">
        <v>8.5</v>
      </c>
      <c r="J181">
        <v>38</v>
      </c>
      <c r="K181" t="s">
        <v>53</v>
      </c>
      <c r="L181" t="s">
        <v>1865</v>
      </c>
    </row>
    <row r="182" spans="1:12">
      <c r="A182" t="s">
        <v>2064</v>
      </c>
      <c r="B182" t="s">
        <v>541</v>
      </c>
      <c r="C182" t="s">
        <v>1943</v>
      </c>
      <c r="D182" t="s">
        <v>396</v>
      </c>
      <c r="E182" t="s">
        <v>1957</v>
      </c>
      <c r="F182">
        <v>5.3</v>
      </c>
      <c r="G182" s="5">
        <v>22000</v>
      </c>
      <c r="H182">
        <v>3</v>
      </c>
      <c r="I182">
        <v>7.5</v>
      </c>
      <c r="J182">
        <v>21</v>
      </c>
      <c r="K182" t="s">
        <v>41</v>
      </c>
    </row>
    <row r="183" spans="1:12">
      <c r="A183" t="s">
        <v>2065</v>
      </c>
      <c r="B183" t="s">
        <v>541</v>
      </c>
      <c r="C183" t="s">
        <v>1945</v>
      </c>
      <c r="D183" t="s">
        <v>396</v>
      </c>
      <c r="E183" t="s">
        <v>1778</v>
      </c>
      <c r="F183">
        <v>6.6</v>
      </c>
      <c r="G183" s="5">
        <v>58000</v>
      </c>
      <c r="H183">
        <v>4</v>
      </c>
      <c r="I183">
        <v>3.1</v>
      </c>
      <c r="J183">
        <v>25</v>
      </c>
      <c r="K183" t="s">
        <v>41</v>
      </c>
    </row>
    <row r="184" spans="1:12">
      <c r="A184" t="s">
        <v>2066</v>
      </c>
      <c r="B184" t="s">
        <v>541</v>
      </c>
      <c r="C184" t="s">
        <v>1947</v>
      </c>
      <c r="D184" t="s">
        <v>396</v>
      </c>
      <c r="E184" t="s">
        <v>1957</v>
      </c>
      <c r="F184">
        <v>2.1</v>
      </c>
      <c r="G184" s="5">
        <v>63000</v>
      </c>
      <c r="H184">
        <v>2</v>
      </c>
      <c r="I184">
        <v>13.6</v>
      </c>
      <c r="J184">
        <v>30</v>
      </c>
      <c r="K184" t="s">
        <v>53</v>
      </c>
      <c r="L184" t="s">
        <v>1950</v>
      </c>
    </row>
    <row r="185" spans="1:12">
      <c r="A185" t="s">
        <v>2067</v>
      </c>
      <c r="B185" t="s">
        <v>541</v>
      </c>
      <c r="C185" t="s">
        <v>1949</v>
      </c>
      <c r="D185" t="s">
        <v>396</v>
      </c>
      <c r="E185" t="s">
        <v>1806</v>
      </c>
      <c r="F185">
        <v>6.6</v>
      </c>
      <c r="G185" s="5">
        <v>48000</v>
      </c>
      <c r="H185">
        <v>5</v>
      </c>
      <c r="I185">
        <v>5.2</v>
      </c>
      <c r="J185">
        <v>16</v>
      </c>
      <c r="K185" t="s">
        <v>41</v>
      </c>
    </row>
    <row r="186" spans="1:12">
      <c r="A186" t="s">
        <v>2068</v>
      </c>
      <c r="B186" t="s">
        <v>541</v>
      </c>
      <c r="C186" t="s">
        <v>1952</v>
      </c>
      <c r="D186" t="s">
        <v>396</v>
      </c>
      <c r="E186" t="s">
        <v>1957</v>
      </c>
      <c r="F186">
        <v>7.2</v>
      </c>
      <c r="G186" s="5">
        <v>29000</v>
      </c>
      <c r="H186">
        <v>4</v>
      </c>
      <c r="I186">
        <v>2.1</v>
      </c>
      <c r="J186">
        <v>11</v>
      </c>
      <c r="K186" t="s">
        <v>41</v>
      </c>
    </row>
    <row r="187" spans="1:12">
      <c r="A187" t="s">
        <v>2069</v>
      </c>
      <c r="B187" t="s">
        <v>541</v>
      </c>
      <c r="C187" t="s">
        <v>1954</v>
      </c>
      <c r="D187" t="s">
        <v>396</v>
      </c>
      <c r="E187" t="s">
        <v>1806</v>
      </c>
      <c r="F187">
        <v>7.3</v>
      </c>
      <c r="G187" s="5">
        <v>34000</v>
      </c>
      <c r="H187">
        <v>4</v>
      </c>
      <c r="I187">
        <v>7.7</v>
      </c>
      <c r="J187">
        <v>5</v>
      </c>
      <c r="K187" t="s">
        <v>41</v>
      </c>
    </row>
    <row r="188" spans="1:12">
      <c r="A188" t="s">
        <v>2070</v>
      </c>
      <c r="B188" t="s">
        <v>541</v>
      </c>
      <c r="C188" t="s">
        <v>1956</v>
      </c>
      <c r="D188" t="s">
        <v>396</v>
      </c>
      <c r="E188" t="s">
        <v>1806</v>
      </c>
      <c r="F188">
        <v>6.8</v>
      </c>
      <c r="G188" s="5">
        <v>26000</v>
      </c>
      <c r="H188">
        <v>4</v>
      </c>
      <c r="I188">
        <v>7.5</v>
      </c>
      <c r="J188">
        <v>5</v>
      </c>
      <c r="K188" t="s">
        <v>41</v>
      </c>
    </row>
    <row r="189" spans="1:12">
      <c r="A189" t="s">
        <v>2071</v>
      </c>
      <c r="B189" t="s">
        <v>541</v>
      </c>
      <c r="C189" t="s">
        <v>1959</v>
      </c>
      <c r="D189" t="s">
        <v>396</v>
      </c>
      <c r="E189" t="s">
        <v>1806</v>
      </c>
      <c r="F189">
        <v>3</v>
      </c>
      <c r="G189" s="5">
        <v>57000</v>
      </c>
      <c r="H189">
        <v>3</v>
      </c>
      <c r="I189">
        <v>3.1</v>
      </c>
      <c r="J189">
        <v>4</v>
      </c>
      <c r="K189" t="s">
        <v>41</v>
      </c>
    </row>
    <row r="190" spans="1:12">
      <c r="A190" t="s">
        <v>2072</v>
      </c>
      <c r="B190" t="s">
        <v>541</v>
      </c>
      <c r="C190" t="s">
        <v>1961</v>
      </c>
      <c r="D190" t="s">
        <v>396</v>
      </c>
      <c r="E190" t="s">
        <v>1806</v>
      </c>
      <c r="F190">
        <v>1</v>
      </c>
      <c r="G190" s="5">
        <v>40000</v>
      </c>
      <c r="H190">
        <v>5</v>
      </c>
      <c r="I190">
        <v>4.2</v>
      </c>
      <c r="J190">
        <v>24</v>
      </c>
      <c r="K190" t="s">
        <v>41</v>
      </c>
    </row>
    <row r="191" spans="1:12">
      <c r="A191" t="s">
        <v>2073</v>
      </c>
      <c r="B191" t="s">
        <v>541</v>
      </c>
      <c r="C191" t="s">
        <v>1963</v>
      </c>
      <c r="D191" t="s">
        <v>396</v>
      </c>
      <c r="E191" t="s">
        <v>1957</v>
      </c>
      <c r="F191">
        <v>3.6</v>
      </c>
      <c r="G191" s="5">
        <v>55000</v>
      </c>
      <c r="H191">
        <v>2</v>
      </c>
      <c r="I191">
        <v>17.7</v>
      </c>
      <c r="J191">
        <v>45</v>
      </c>
      <c r="K191" t="s">
        <v>53</v>
      </c>
      <c r="L191" t="s">
        <v>1950</v>
      </c>
    </row>
    <row r="192" spans="1:12">
      <c r="A192" t="s">
        <v>2074</v>
      </c>
      <c r="B192" t="s">
        <v>541</v>
      </c>
      <c r="C192" t="s">
        <v>1965</v>
      </c>
      <c r="D192" t="s">
        <v>396</v>
      </c>
      <c r="E192" t="s">
        <v>1784</v>
      </c>
      <c r="F192">
        <v>4.2</v>
      </c>
      <c r="G192" s="5">
        <v>47000</v>
      </c>
      <c r="H192">
        <v>4</v>
      </c>
      <c r="I192">
        <v>8</v>
      </c>
      <c r="J192">
        <v>7</v>
      </c>
      <c r="K192" t="s">
        <v>41</v>
      </c>
    </row>
    <row r="193" spans="1:12">
      <c r="A193" t="s">
        <v>2075</v>
      </c>
      <c r="B193" t="s">
        <v>541</v>
      </c>
      <c r="C193" t="s">
        <v>1967</v>
      </c>
      <c r="D193" t="s">
        <v>396</v>
      </c>
      <c r="E193" t="s">
        <v>1778</v>
      </c>
      <c r="F193">
        <v>5.7</v>
      </c>
      <c r="G193" s="5">
        <v>50000</v>
      </c>
      <c r="H193">
        <v>4</v>
      </c>
      <c r="I193">
        <v>8.8000000000000007</v>
      </c>
      <c r="J193">
        <v>16</v>
      </c>
      <c r="K193" t="s">
        <v>41</v>
      </c>
    </row>
    <row r="194" spans="1:12">
      <c r="A194" t="s">
        <v>2076</v>
      </c>
      <c r="B194" t="s">
        <v>541</v>
      </c>
      <c r="C194" t="s">
        <v>1969</v>
      </c>
      <c r="D194" t="s">
        <v>396</v>
      </c>
      <c r="E194" t="s">
        <v>1957</v>
      </c>
      <c r="F194">
        <v>6.7</v>
      </c>
      <c r="G194" s="5">
        <v>56000</v>
      </c>
      <c r="H194">
        <v>3</v>
      </c>
      <c r="I194">
        <v>5.7</v>
      </c>
      <c r="J194">
        <v>10</v>
      </c>
      <c r="K194" t="s">
        <v>41</v>
      </c>
    </row>
    <row r="195" spans="1:12">
      <c r="A195" t="s">
        <v>2077</v>
      </c>
      <c r="B195" t="s">
        <v>541</v>
      </c>
      <c r="C195" t="s">
        <v>1971</v>
      </c>
      <c r="D195" t="s">
        <v>396</v>
      </c>
      <c r="E195" t="s">
        <v>1806</v>
      </c>
      <c r="F195">
        <v>2.7</v>
      </c>
      <c r="G195" s="5">
        <v>36000</v>
      </c>
      <c r="H195">
        <v>5</v>
      </c>
      <c r="I195">
        <v>2.6</v>
      </c>
      <c r="J195">
        <v>12</v>
      </c>
      <c r="K195" t="s">
        <v>41</v>
      </c>
    </row>
    <row r="196" spans="1:12">
      <c r="A196" t="s">
        <v>2078</v>
      </c>
      <c r="B196" t="s">
        <v>541</v>
      </c>
      <c r="C196" t="s">
        <v>1973</v>
      </c>
      <c r="D196" t="s">
        <v>396</v>
      </c>
      <c r="E196" t="s">
        <v>1957</v>
      </c>
      <c r="F196">
        <v>3.3</v>
      </c>
      <c r="G196" s="5">
        <v>30000</v>
      </c>
      <c r="H196">
        <v>4</v>
      </c>
      <c r="I196">
        <v>8.4</v>
      </c>
      <c r="J196">
        <v>28</v>
      </c>
      <c r="K196" t="s">
        <v>41</v>
      </c>
    </row>
    <row r="197" spans="1:12">
      <c r="A197" t="s">
        <v>2079</v>
      </c>
      <c r="B197" t="s">
        <v>541</v>
      </c>
      <c r="C197" t="s">
        <v>1975</v>
      </c>
      <c r="D197" t="s">
        <v>396</v>
      </c>
      <c r="E197" t="s">
        <v>1778</v>
      </c>
      <c r="F197">
        <v>3.6</v>
      </c>
      <c r="G197" s="5">
        <v>50000</v>
      </c>
      <c r="H197">
        <v>5</v>
      </c>
      <c r="I197">
        <v>1.4</v>
      </c>
      <c r="J197">
        <v>13</v>
      </c>
      <c r="K197" t="s">
        <v>41</v>
      </c>
    </row>
    <row r="198" spans="1:12">
      <c r="A198" t="s">
        <v>2080</v>
      </c>
      <c r="B198" t="s">
        <v>541</v>
      </c>
      <c r="C198" t="s">
        <v>1977</v>
      </c>
      <c r="D198" t="s">
        <v>396</v>
      </c>
      <c r="E198" t="s">
        <v>1957</v>
      </c>
      <c r="F198">
        <v>3.6</v>
      </c>
      <c r="G198" s="5">
        <v>43000</v>
      </c>
      <c r="H198">
        <v>4</v>
      </c>
      <c r="I198">
        <v>6.6</v>
      </c>
      <c r="J198">
        <v>15</v>
      </c>
      <c r="K198" t="s">
        <v>41</v>
      </c>
    </row>
    <row r="199" spans="1:12">
      <c r="A199" t="s">
        <v>2081</v>
      </c>
      <c r="B199" t="s">
        <v>541</v>
      </c>
      <c r="C199" t="s">
        <v>1979</v>
      </c>
      <c r="D199" t="s">
        <v>396</v>
      </c>
      <c r="E199" t="s">
        <v>1806</v>
      </c>
      <c r="F199">
        <v>1.9</v>
      </c>
      <c r="G199" s="5">
        <v>33000</v>
      </c>
      <c r="H199">
        <v>2</v>
      </c>
      <c r="I199">
        <v>8.8000000000000007</v>
      </c>
      <c r="J199">
        <v>32</v>
      </c>
      <c r="K199" t="s">
        <v>53</v>
      </c>
      <c r="L199" t="s">
        <v>1779</v>
      </c>
    </row>
    <row r="200" spans="1:12">
      <c r="A200" t="s">
        <v>2082</v>
      </c>
      <c r="B200" t="s">
        <v>541</v>
      </c>
      <c r="C200" t="s">
        <v>1981</v>
      </c>
      <c r="D200" t="s">
        <v>396</v>
      </c>
      <c r="E200" t="s">
        <v>1957</v>
      </c>
      <c r="F200">
        <v>6.8</v>
      </c>
      <c r="G200" s="5">
        <v>42000</v>
      </c>
      <c r="H200">
        <v>5</v>
      </c>
      <c r="I200">
        <v>1.3</v>
      </c>
      <c r="J200">
        <v>32</v>
      </c>
      <c r="K200" t="s">
        <v>41</v>
      </c>
    </row>
    <row r="201" spans="1:12">
      <c r="A201" t="s">
        <v>2083</v>
      </c>
      <c r="B201" t="s">
        <v>541</v>
      </c>
      <c r="C201" t="s">
        <v>1983</v>
      </c>
      <c r="D201" t="s">
        <v>396</v>
      </c>
      <c r="E201" t="s">
        <v>1957</v>
      </c>
      <c r="F201">
        <v>5.6</v>
      </c>
      <c r="G201" s="5">
        <v>64000</v>
      </c>
      <c r="H201">
        <v>3</v>
      </c>
      <c r="I201">
        <v>1.3</v>
      </c>
      <c r="J201">
        <v>23</v>
      </c>
      <c r="K201" t="s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1"/>
  <sheetViews>
    <sheetView workbookViewId="0"/>
  </sheetViews>
  <sheetFormatPr defaultRowHeight="14.25"/>
  <cols>
    <col min="1" max="1" width="12.125" customWidth="1"/>
    <col min="2" max="2" width="8.625" customWidth="1"/>
    <col min="3" max="3" width="7.25" customWidth="1"/>
    <col min="4" max="4" width="12" customWidth="1"/>
    <col min="5" max="5" width="15.25" customWidth="1"/>
    <col min="6" max="6" width="17.625" customWidth="1"/>
    <col min="7" max="7" width="10.75" customWidth="1"/>
    <col min="8" max="8" width="15.75" customWidth="1"/>
    <col min="9" max="9" width="15.875" customWidth="1"/>
    <col min="10" max="10" width="12.25" customWidth="1"/>
    <col min="11" max="11" width="23.125" customWidth="1"/>
    <col min="12" max="12" width="16.375" customWidth="1"/>
    <col min="13" max="13" width="13.5" customWidth="1"/>
  </cols>
  <sheetData>
    <row r="1" spans="1:13" ht="30">
      <c r="A1" s="8" t="s">
        <v>2084</v>
      </c>
      <c r="B1" s="8" t="s">
        <v>19</v>
      </c>
      <c r="C1" s="8" t="s">
        <v>2085</v>
      </c>
      <c r="D1" s="8" t="s">
        <v>20</v>
      </c>
      <c r="E1" s="8" t="s">
        <v>21</v>
      </c>
      <c r="F1" s="8" t="s">
        <v>2086</v>
      </c>
      <c r="G1" s="8" t="s">
        <v>2087</v>
      </c>
      <c r="H1" s="8" t="s">
        <v>2088</v>
      </c>
      <c r="I1" s="8" t="s">
        <v>2089</v>
      </c>
      <c r="J1" s="8" t="s">
        <v>2090</v>
      </c>
      <c r="K1" s="8" t="s">
        <v>2091</v>
      </c>
      <c r="L1" s="8" t="s">
        <v>2092</v>
      </c>
      <c r="M1" s="8" t="s">
        <v>2093</v>
      </c>
    </row>
    <row r="2" spans="1:13">
      <c r="A2" s="4">
        <v>46203</v>
      </c>
      <c r="B2" t="s">
        <v>36</v>
      </c>
      <c r="C2" t="s">
        <v>2094</v>
      </c>
      <c r="D2" t="s">
        <v>37</v>
      </c>
      <c r="E2" t="s">
        <v>45</v>
      </c>
      <c r="F2">
        <v>222</v>
      </c>
      <c r="G2" s="9">
        <v>3257</v>
      </c>
      <c r="H2" s="9">
        <v>723054</v>
      </c>
      <c r="I2" s="9">
        <v>10955.36</v>
      </c>
      <c r="J2">
        <v>66</v>
      </c>
      <c r="K2">
        <v>184</v>
      </c>
      <c r="L2">
        <v>112</v>
      </c>
      <c r="M2" t="s">
        <v>2095</v>
      </c>
    </row>
    <row r="3" spans="1:13">
      <c r="A3" s="4">
        <v>46203</v>
      </c>
      <c r="B3" t="s">
        <v>36</v>
      </c>
      <c r="C3" t="s">
        <v>2096</v>
      </c>
      <c r="D3" t="s">
        <v>37</v>
      </c>
      <c r="E3" t="s">
        <v>55</v>
      </c>
      <c r="F3">
        <v>275</v>
      </c>
      <c r="G3" s="9">
        <v>6691</v>
      </c>
      <c r="H3" s="9">
        <v>1840025</v>
      </c>
      <c r="I3" s="9">
        <v>36078.92</v>
      </c>
      <c r="J3">
        <v>51</v>
      </c>
      <c r="K3">
        <v>100</v>
      </c>
      <c r="L3">
        <v>52</v>
      </c>
      <c r="M3" t="s">
        <v>2095</v>
      </c>
    </row>
    <row r="4" spans="1:13">
      <c r="A4" s="4">
        <v>46203</v>
      </c>
      <c r="B4" t="s">
        <v>36</v>
      </c>
      <c r="C4" t="s">
        <v>2097</v>
      </c>
      <c r="D4" t="s">
        <v>37</v>
      </c>
      <c r="E4" t="s">
        <v>59</v>
      </c>
      <c r="F4">
        <v>101</v>
      </c>
      <c r="G4" s="9">
        <v>7766</v>
      </c>
      <c r="H4" s="9">
        <v>784366</v>
      </c>
      <c r="I4" s="9">
        <v>16007.47</v>
      </c>
      <c r="J4">
        <v>49</v>
      </c>
      <c r="K4">
        <v>45</v>
      </c>
      <c r="L4">
        <v>21</v>
      </c>
      <c r="M4" t="s">
        <v>2095</v>
      </c>
    </row>
    <row r="5" spans="1:13">
      <c r="A5" s="4">
        <v>46203</v>
      </c>
      <c r="B5" t="s">
        <v>36</v>
      </c>
      <c r="C5" t="s">
        <v>2098</v>
      </c>
      <c r="D5" t="s">
        <v>37</v>
      </c>
      <c r="E5" t="s">
        <v>38</v>
      </c>
      <c r="F5">
        <v>231</v>
      </c>
      <c r="G5" s="9">
        <v>7302</v>
      </c>
      <c r="H5" s="9">
        <v>1686762</v>
      </c>
      <c r="I5" s="9">
        <v>24805.32</v>
      </c>
      <c r="J5">
        <v>68</v>
      </c>
      <c r="K5">
        <v>123</v>
      </c>
      <c r="L5">
        <v>56</v>
      </c>
      <c r="M5" t="s">
        <v>2095</v>
      </c>
    </row>
    <row r="6" spans="1:13">
      <c r="A6" s="4">
        <v>46203</v>
      </c>
      <c r="B6" t="s">
        <v>36</v>
      </c>
      <c r="C6" t="s">
        <v>2099</v>
      </c>
      <c r="D6" t="s">
        <v>37</v>
      </c>
      <c r="E6" t="s">
        <v>38</v>
      </c>
      <c r="F6">
        <v>391</v>
      </c>
      <c r="G6" s="9">
        <v>7652</v>
      </c>
      <c r="H6" s="9">
        <v>2991932</v>
      </c>
      <c r="I6" s="9">
        <v>58665.33</v>
      </c>
      <c r="J6">
        <v>51</v>
      </c>
      <c r="K6">
        <v>138</v>
      </c>
      <c r="L6">
        <v>75</v>
      </c>
      <c r="M6" t="s">
        <v>2095</v>
      </c>
    </row>
    <row r="7" spans="1:13">
      <c r="A7" s="4">
        <v>46203</v>
      </c>
      <c r="B7" t="s">
        <v>36</v>
      </c>
      <c r="C7" t="s">
        <v>2100</v>
      </c>
      <c r="D7" t="s">
        <v>37</v>
      </c>
      <c r="E7" t="s">
        <v>59</v>
      </c>
      <c r="F7">
        <v>205</v>
      </c>
      <c r="G7" s="9">
        <v>7831</v>
      </c>
      <c r="H7" s="9">
        <v>1605355</v>
      </c>
      <c r="I7" s="9">
        <v>32762.35</v>
      </c>
      <c r="J7">
        <v>49</v>
      </c>
      <c r="K7">
        <v>142</v>
      </c>
      <c r="L7">
        <v>84</v>
      </c>
      <c r="M7" t="s">
        <v>2095</v>
      </c>
    </row>
    <row r="8" spans="1:13">
      <c r="A8" s="4">
        <v>46203</v>
      </c>
      <c r="B8" t="s">
        <v>36</v>
      </c>
      <c r="C8" t="s">
        <v>2101</v>
      </c>
      <c r="D8" t="s">
        <v>37</v>
      </c>
      <c r="E8" t="s">
        <v>45</v>
      </c>
      <c r="F8">
        <v>192</v>
      </c>
      <c r="G8" s="9">
        <v>4352</v>
      </c>
      <c r="H8" s="9">
        <v>835584</v>
      </c>
      <c r="I8" s="9">
        <v>13926.4</v>
      </c>
      <c r="J8">
        <v>60</v>
      </c>
      <c r="K8">
        <v>151</v>
      </c>
      <c r="L8">
        <v>84</v>
      </c>
      <c r="M8" t="s">
        <v>2095</v>
      </c>
    </row>
    <row r="9" spans="1:13">
      <c r="A9" s="4">
        <v>46203</v>
      </c>
      <c r="B9" t="s">
        <v>36</v>
      </c>
      <c r="C9" t="s">
        <v>2102</v>
      </c>
      <c r="D9" t="s">
        <v>37</v>
      </c>
      <c r="E9" t="s">
        <v>38</v>
      </c>
      <c r="F9">
        <v>82</v>
      </c>
      <c r="G9" s="9">
        <v>2089</v>
      </c>
      <c r="H9" s="9">
        <v>171298</v>
      </c>
      <c r="I9" s="9">
        <v>2854.97</v>
      </c>
      <c r="J9">
        <v>60</v>
      </c>
      <c r="K9">
        <v>54</v>
      </c>
      <c r="L9">
        <v>36</v>
      </c>
      <c r="M9" t="s">
        <v>2095</v>
      </c>
    </row>
    <row r="10" spans="1:13">
      <c r="A10" s="4">
        <v>46203</v>
      </c>
      <c r="B10" t="s">
        <v>36</v>
      </c>
      <c r="C10" t="s">
        <v>2103</v>
      </c>
      <c r="D10" t="s">
        <v>37</v>
      </c>
      <c r="E10" t="s">
        <v>45</v>
      </c>
      <c r="F10">
        <v>384</v>
      </c>
      <c r="G10" s="9">
        <v>4259</v>
      </c>
      <c r="H10" s="9">
        <v>1635456</v>
      </c>
      <c r="I10" s="9">
        <v>35553.39</v>
      </c>
      <c r="J10">
        <v>46</v>
      </c>
      <c r="K10">
        <v>305</v>
      </c>
      <c r="L10">
        <v>210</v>
      </c>
      <c r="M10" t="s">
        <v>2095</v>
      </c>
    </row>
    <row r="11" spans="1:13">
      <c r="A11" s="4">
        <v>46203</v>
      </c>
      <c r="B11" t="s">
        <v>36</v>
      </c>
      <c r="C11" t="s">
        <v>2104</v>
      </c>
      <c r="D11" t="s">
        <v>37</v>
      </c>
      <c r="E11" t="s">
        <v>59</v>
      </c>
      <c r="F11">
        <v>227</v>
      </c>
      <c r="G11" s="9">
        <v>7725</v>
      </c>
      <c r="H11" s="9">
        <v>1753575</v>
      </c>
      <c r="I11" s="9">
        <v>30234.05</v>
      </c>
      <c r="J11">
        <v>58</v>
      </c>
      <c r="K11">
        <v>157</v>
      </c>
      <c r="L11">
        <v>84</v>
      </c>
      <c r="M11" t="s">
        <v>2095</v>
      </c>
    </row>
    <row r="12" spans="1:13">
      <c r="A12" s="4">
        <v>46203</v>
      </c>
      <c r="B12" t="s">
        <v>36</v>
      </c>
      <c r="C12" t="s">
        <v>2105</v>
      </c>
      <c r="D12" t="s">
        <v>37</v>
      </c>
      <c r="E12" t="s">
        <v>59</v>
      </c>
      <c r="F12">
        <v>235</v>
      </c>
      <c r="G12" s="9">
        <v>4677</v>
      </c>
      <c r="H12" s="9">
        <v>1099095</v>
      </c>
      <c r="I12" s="9">
        <v>23893.37</v>
      </c>
      <c r="J12">
        <v>46</v>
      </c>
      <c r="K12">
        <v>89</v>
      </c>
      <c r="L12">
        <v>61</v>
      </c>
      <c r="M12" t="s">
        <v>2095</v>
      </c>
    </row>
    <row r="13" spans="1:13">
      <c r="A13" s="4">
        <v>46203</v>
      </c>
      <c r="B13" t="s">
        <v>36</v>
      </c>
      <c r="C13" t="s">
        <v>2106</v>
      </c>
      <c r="D13" t="s">
        <v>37</v>
      </c>
      <c r="E13" t="s">
        <v>59</v>
      </c>
      <c r="F13">
        <v>379</v>
      </c>
      <c r="G13" s="9">
        <v>1657</v>
      </c>
      <c r="H13" s="9">
        <v>628003</v>
      </c>
      <c r="I13" s="9">
        <v>10827.64</v>
      </c>
      <c r="J13">
        <v>58</v>
      </c>
      <c r="K13">
        <v>213</v>
      </c>
      <c r="L13">
        <v>144</v>
      </c>
      <c r="M13" t="s">
        <v>2095</v>
      </c>
    </row>
    <row r="14" spans="1:13">
      <c r="A14" s="4">
        <v>46203</v>
      </c>
      <c r="B14" t="s">
        <v>36</v>
      </c>
      <c r="C14" t="s">
        <v>2107</v>
      </c>
      <c r="D14" t="s">
        <v>37</v>
      </c>
      <c r="E14" t="s">
        <v>38</v>
      </c>
      <c r="F14">
        <v>87</v>
      </c>
      <c r="G14" s="9">
        <v>5978</v>
      </c>
      <c r="H14" s="9">
        <v>520086</v>
      </c>
      <c r="I14" s="9">
        <v>7762.48</v>
      </c>
      <c r="J14">
        <v>67</v>
      </c>
      <c r="K14">
        <v>49</v>
      </c>
      <c r="L14">
        <v>25</v>
      </c>
      <c r="M14" t="s">
        <v>2095</v>
      </c>
    </row>
    <row r="15" spans="1:13">
      <c r="A15" s="4">
        <v>46203</v>
      </c>
      <c r="B15" t="s">
        <v>36</v>
      </c>
      <c r="C15" t="s">
        <v>2108</v>
      </c>
      <c r="D15" t="s">
        <v>37</v>
      </c>
      <c r="E15" t="s">
        <v>38</v>
      </c>
      <c r="F15">
        <v>295</v>
      </c>
      <c r="G15" s="9">
        <v>5603</v>
      </c>
      <c r="H15" s="9">
        <v>1652885</v>
      </c>
      <c r="I15" s="9">
        <v>30052.45</v>
      </c>
      <c r="J15">
        <v>55</v>
      </c>
      <c r="K15">
        <v>203</v>
      </c>
      <c r="L15">
        <v>127</v>
      </c>
      <c r="M15" t="s">
        <v>2095</v>
      </c>
    </row>
    <row r="16" spans="1:13">
      <c r="A16" s="4">
        <v>46203</v>
      </c>
      <c r="B16" t="s">
        <v>36</v>
      </c>
      <c r="C16" t="s">
        <v>2109</v>
      </c>
      <c r="D16" t="s">
        <v>37</v>
      </c>
      <c r="E16" t="s">
        <v>45</v>
      </c>
      <c r="F16">
        <v>389</v>
      </c>
      <c r="G16" s="9">
        <v>3087</v>
      </c>
      <c r="H16" s="9">
        <v>1200843</v>
      </c>
      <c r="I16" s="9">
        <v>21443.62</v>
      </c>
      <c r="J16">
        <v>56</v>
      </c>
      <c r="K16">
        <v>195</v>
      </c>
      <c r="L16">
        <v>121</v>
      </c>
      <c r="M16" t="s">
        <v>2095</v>
      </c>
    </row>
    <row r="17" spans="1:13">
      <c r="A17" s="4">
        <v>46203</v>
      </c>
      <c r="B17" t="s">
        <v>36</v>
      </c>
      <c r="C17" t="s">
        <v>2110</v>
      </c>
      <c r="D17" t="s">
        <v>37</v>
      </c>
      <c r="E17" t="s">
        <v>38</v>
      </c>
      <c r="F17">
        <v>491</v>
      </c>
      <c r="G17" s="9">
        <v>3343</v>
      </c>
      <c r="H17" s="9">
        <v>1641413</v>
      </c>
      <c r="I17" s="9">
        <v>32828.26</v>
      </c>
      <c r="J17">
        <v>50</v>
      </c>
      <c r="K17">
        <v>268</v>
      </c>
      <c r="L17">
        <v>151</v>
      </c>
      <c r="M17" t="s">
        <v>2095</v>
      </c>
    </row>
    <row r="18" spans="1:13">
      <c r="A18" s="4">
        <v>46203</v>
      </c>
      <c r="B18" t="s">
        <v>36</v>
      </c>
      <c r="C18" t="s">
        <v>2111</v>
      </c>
      <c r="D18" t="s">
        <v>37</v>
      </c>
      <c r="E18" t="s">
        <v>59</v>
      </c>
      <c r="F18">
        <v>221</v>
      </c>
      <c r="G18" s="9">
        <v>4187</v>
      </c>
      <c r="H18" s="9">
        <v>925327</v>
      </c>
      <c r="I18" s="9">
        <v>15953.91</v>
      </c>
      <c r="J18">
        <v>58</v>
      </c>
      <c r="K18">
        <v>95</v>
      </c>
      <c r="L18">
        <v>51</v>
      </c>
      <c r="M18" t="s">
        <v>2095</v>
      </c>
    </row>
    <row r="19" spans="1:13">
      <c r="A19" s="4">
        <v>46203</v>
      </c>
      <c r="B19" t="s">
        <v>36</v>
      </c>
      <c r="C19" t="s">
        <v>2112</v>
      </c>
      <c r="D19" t="s">
        <v>37</v>
      </c>
      <c r="E19" t="s">
        <v>55</v>
      </c>
      <c r="F19">
        <v>87</v>
      </c>
      <c r="G19" s="9">
        <v>5540</v>
      </c>
      <c r="H19" s="9">
        <v>481980</v>
      </c>
      <c r="I19" s="9">
        <v>10041.25</v>
      </c>
      <c r="J19">
        <v>48</v>
      </c>
      <c r="K19">
        <v>44</v>
      </c>
      <c r="L19">
        <v>21</v>
      </c>
      <c r="M19" t="s">
        <v>2095</v>
      </c>
    </row>
    <row r="20" spans="1:13">
      <c r="A20" s="4">
        <v>46203</v>
      </c>
      <c r="B20" t="s">
        <v>36</v>
      </c>
      <c r="C20" t="s">
        <v>2113</v>
      </c>
      <c r="D20" t="s">
        <v>37</v>
      </c>
      <c r="E20" t="s">
        <v>59</v>
      </c>
      <c r="F20">
        <v>144</v>
      </c>
      <c r="G20" s="9">
        <v>3841</v>
      </c>
      <c r="H20" s="9">
        <v>553104</v>
      </c>
      <c r="I20" s="9">
        <v>8133.88</v>
      </c>
      <c r="J20">
        <v>68</v>
      </c>
      <c r="K20">
        <v>89</v>
      </c>
      <c r="L20">
        <v>44</v>
      </c>
      <c r="M20" t="s">
        <v>2095</v>
      </c>
    </row>
    <row r="21" spans="1:13">
      <c r="A21" s="4">
        <v>46203</v>
      </c>
      <c r="B21" t="s">
        <v>36</v>
      </c>
      <c r="C21" t="s">
        <v>2114</v>
      </c>
      <c r="D21" t="s">
        <v>37</v>
      </c>
      <c r="E21" t="s">
        <v>38</v>
      </c>
      <c r="F21">
        <v>371</v>
      </c>
      <c r="G21" s="9">
        <v>3030</v>
      </c>
      <c r="H21" s="9">
        <v>1124130</v>
      </c>
      <c r="I21" s="9">
        <v>17294.310000000001</v>
      </c>
      <c r="J21">
        <v>65</v>
      </c>
      <c r="K21">
        <v>260</v>
      </c>
      <c r="L21">
        <v>126</v>
      </c>
      <c r="M21" t="s">
        <v>2095</v>
      </c>
    </row>
    <row r="22" spans="1:13">
      <c r="A22" s="4">
        <v>46203</v>
      </c>
      <c r="B22" t="s">
        <v>36</v>
      </c>
      <c r="C22" t="s">
        <v>2115</v>
      </c>
      <c r="D22" t="s">
        <v>37</v>
      </c>
      <c r="E22" t="s">
        <v>59</v>
      </c>
      <c r="F22">
        <v>207</v>
      </c>
      <c r="G22" s="9">
        <v>4211</v>
      </c>
      <c r="H22" s="9">
        <v>871677</v>
      </c>
      <c r="I22" s="9">
        <v>17789.330000000002</v>
      </c>
      <c r="J22">
        <v>49</v>
      </c>
      <c r="K22">
        <v>74</v>
      </c>
      <c r="L22">
        <v>47</v>
      </c>
      <c r="M22" t="s">
        <v>2095</v>
      </c>
    </row>
    <row r="23" spans="1:13">
      <c r="A23" s="4">
        <v>46203</v>
      </c>
      <c r="B23" t="s">
        <v>36</v>
      </c>
      <c r="C23" t="s">
        <v>2116</v>
      </c>
      <c r="D23" t="s">
        <v>37</v>
      </c>
      <c r="E23" t="s">
        <v>55</v>
      </c>
      <c r="F23">
        <v>379</v>
      </c>
      <c r="G23" s="9">
        <v>8832</v>
      </c>
      <c r="H23" s="9">
        <v>3347328</v>
      </c>
      <c r="I23" s="9">
        <v>71219.740000000005</v>
      </c>
      <c r="J23">
        <v>47</v>
      </c>
      <c r="K23">
        <v>141</v>
      </c>
      <c r="L23">
        <v>72</v>
      </c>
      <c r="M23" t="s">
        <v>2095</v>
      </c>
    </row>
    <row r="24" spans="1:13">
      <c r="A24" s="4">
        <v>46203</v>
      </c>
      <c r="B24" t="s">
        <v>36</v>
      </c>
      <c r="C24" t="s">
        <v>2117</v>
      </c>
      <c r="D24" t="s">
        <v>37</v>
      </c>
      <c r="E24" t="s">
        <v>59</v>
      </c>
      <c r="F24">
        <v>311</v>
      </c>
      <c r="G24" s="9">
        <v>3574</v>
      </c>
      <c r="H24" s="9">
        <v>1111514</v>
      </c>
      <c r="I24" s="9">
        <v>20971.96</v>
      </c>
      <c r="J24">
        <v>53</v>
      </c>
      <c r="K24">
        <v>132</v>
      </c>
      <c r="L24">
        <v>89</v>
      </c>
      <c r="M24" t="s">
        <v>2095</v>
      </c>
    </row>
    <row r="25" spans="1:13">
      <c r="A25" s="4">
        <v>46203</v>
      </c>
      <c r="B25" t="s">
        <v>36</v>
      </c>
      <c r="C25" t="s">
        <v>2118</v>
      </c>
      <c r="D25" t="s">
        <v>37</v>
      </c>
      <c r="E25" t="s">
        <v>59</v>
      </c>
      <c r="F25">
        <v>246</v>
      </c>
      <c r="G25" s="9">
        <v>4716</v>
      </c>
      <c r="H25" s="9">
        <v>1160136</v>
      </c>
      <c r="I25" s="9">
        <v>14148</v>
      </c>
      <c r="J25">
        <v>82</v>
      </c>
      <c r="K25">
        <v>183</v>
      </c>
      <c r="L25">
        <v>110</v>
      </c>
      <c r="M25" t="s">
        <v>2119</v>
      </c>
    </row>
    <row r="26" spans="1:13">
      <c r="A26" s="4">
        <v>46203</v>
      </c>
      <c r="B26" t="s">
        <v>36</v>
      </c>
      <c r="C26" t="s">
        <v>2120</v>
      </c>
      <c r="D26" t="s">
        <v>37</v>
      </c>
      <c r="E26" t="s">
        <v>55</v>
      </c>
      <c r="F26">
        <v>194</v>
      </c>
      <c r="G26" s="9">
        <v>8843</v>
      </c>
      <c r="H26" s="9">
        <v>1715542</v>
      </c>
      <c r="I26" s="9">
        <v>27670.03</v>
      </c>
      <c r="J26">
        <v>62</v>
      </c>
      <c r="K26">
        <v>160</v>
      </c>
      <c r="L26">
        <v>108</v>
      </c>
      <c r="M26" t="s">
        <v>2095</v>
      </c>
    </row>
    <row r="27" spans="1:13">
      <c r="A27" s="4">
        <v>46203</v>
      </c>
      <c r="B27" t="s">
        <v>36</v>
      </c>
      <c r="C27" t="s">
        <v>2121</v>
      </c>
      <c r="D27" t="s">
        <v>37</v>
      </c>
      <c r="E27" t="s">
        <v>45</v>
      </c>
      <c r="F27">
        <v>221</v>
      </c>
      <c r="G27" s="9">
        <v>7678</v>
      </c>
      <c r="H27" s="9">
        <v>1696838</v>
      </c>
      <c r="I27" s="9">
        <v>34629.35</v>
      </c>
      <c r="J27">
        <v>49</v>
      </c>
      <c r="K27">
        <v>164</v>
      </c>
      <c r="L27">
        <v>96</v>
      </c>
      <c r="M27" t="s">
        <v>2095</v>
      </c>
    </row>
    <row r="28" spans="1:13">
      <c r="A28" s="4">
        <v>46203</v>
      </c>
      <c r="B28" t="s">
        <v>36</v>
      </c>
      <c r="C28" t="s">
        <v>2122</v>
      </c>
      <c r="D28" t="s">
        <v>37</v>
      </c>
      <c r="E28" t="s">
        <v>55</v>
      </c>
      <c r="F28">
        <v>488</v>
      </c>
      <c r="G28" s="9">
        <v>6133</v>
      </c>
      <c r="H28" s="9">
        <v>2992904</v>
      </c>
      <c r="I28" s="9">
        <v>42755.77</v>
      </c>
      <c r="J28">
        <v>70</v>
      </c>
      <c r="K28">
        <v>212</v>
      </c>
      <c r="L28">
        <v>134</v>
      </c>
      <c r="M28" t="s">
        <v>2095</v>
      </c>
    </row>
    <row r="29" spans="1:13">
      <c r="A29" s="4">
        <v>46203</v>
      </c>
      <c r="B29" t="s">
        <v>36</v>
      </c>
      <c r="C29" t="s">
        <v>2123</v>
      </c>
      <c r="D29" t="s">
        <v>37</v>
      </c>
      <c r="E29" t="s">
        <v>55</v>
      </c>
      <c r="F29">
        <v>209</v>
      </c>
      <c r="G29" s="9">
        <v>2872</v>
      </c>
      <c r="H29" s="9">
        <v>600248</v>
      </c>
      <c r="I29" s="9">
        <v>9234.58</v>
      </c>
      <c r="J29">
        <v>65</v>
      </c>
      <c r="K29">
        <v>97</v>
      </c>
      <c r="L29">
        <v>64</v>
      </c>
      <c r="M29" t="s">
        <v>2095</v>
      </c>
    </row>
    <row r="30" spans="1:13">
      <c r="A30" s="4">
        <v>46203</v>
      </c>
      <c r="B30" t="s">
        <v>36</v>
      </c>
      <c r="C30" t="s">
        <v>2124</v>
      </c>
      <c r="D30" t="s">
        <v>37</v>
      </c>
      <c r="E30" t="s">
        <v>45</v>
      </c>
      <c r="F30">
        <v>393</v>
      </c>
      <c r="G30" s="9">
        <v>8087</v>
      </c>
      <c r="H30" s="9">
        <v>3178191</v>
      </c>
      <c r="I30" s="9">
        <v>47435.69</v>
      </c>
      <c r="J30">
        <v>67</v>
      </c>
      <c r="K30">
        <v>311</v>
      </c>
      <c r="L30">
        <v>150</v>
      </c>
      <c r="M30" t="s">
        <v>2095</v>
      </c>
    </row>
    <row r="31" spans="1:13">
      <c r="A31" s="4">
        <v>46203</v>
      </c>
      <c r="B31" t="s">
        <v>36</v>
      </c>
      <c r="C31" t="s">
        <v>2125</v>
      </c>
      <c r="D31" t="s">
        <v>37</v>
      </c>
      <c r="E31" t="s">
        <v>59</v>
      </c>
      <c r="F31">
        <v>231</v>
      </c>
      <c r="G31" s="9">
        <v>5765</v>
      </c>
      <c r="H31" s="9">
        <v>1331715</v>
      </c>
      <c r="I31" s="9">
        <v>19876.34</v>
      </c>
      <c r="J31">
        <v>67</v>
      </c>
      <c r="K31">
        <v>110</v>
      </c>
      <c r="L31">
        <v>76</v>
      </c>
      <c r="M31" t="s">
        <v>2095</v>
      </c>
    </row>
    <row r="32" spans="1:13">
      <c r="A32" s="4">
        <v>46203</v>
      </c>
      <c r="B32" t="s">
        <v>36</v>
      </c>
      <c r="C32" t="s">
        <v>2126</v>
      </c>
      <c r="D32" t="s">
        <v>231</v>
      </c>
      <c r="E32" t="s">
        <v>232</v>
      </c>
      <c r="F32">
        <v>412</v>
      </c>
      <c r="G32" s="9">
        <v>1095</v>
      </c>
      <c r="H32" s="9">
        <v>451140</v>
      </c>
      <c r="I32" s="9">
        <v>13268.82</v>
      </c>
      <c r="J32">
        <v>34</v>
      </c>
      <c r="K32">
        <v>242</v>
      </c>
      <c r="L32">
        <v>155</v>
      </c>
      <c r="M32" t="s">
        <v>2095</v>
      </c>
    </row>
    <row r="33" spans="1:13">
      <c r="A33" s="4">
        <v>46203</v>
      </c>
      <c r="B33" t="s">
        <v>36</v>
      </c>
      <c r="C33" t="s">
        <v>2127</v>
      </c>
      <c r="D33" t="s">
        <v>231</v>
      </c>
      <c r="E33" t="s">
        <v>243</v>
      </c>
      <c r="F33">
        <v>84</v>
      </c>
      <c r="G33" s="9">
        <v>1168</v>
      </c>
      <c r="H33" s="9">
        <v>98112</v>
      </c>
      <c r="I33" s="9">
        <v>2132.87</v>
      </c>
      <c r="J33">
        <v>46</v>
      </c>
      <c r="K33">
        <v>68</v>
      </c>
      <c r="L33">
        <v>39</v>
      </c>
      <c r="M33" t="s">
        <v>2095</v>
      </c>
    </row>
    <row r="34" spans="1:13">
      <c r="A34" s="4">
        <v>46203</v>
      </c>
      <c r="B34" t="s">
        <v>36</v>
      </c>
      <c r="C34" t="s">
        <v>2128</v>
      </c>
      <c r="D34" t="s">
        <v>231</v>
      </c>
      <c r="E34" t="s">
        <v>239</v>
      </c>
      <c r="F34">
        <v>138</v>
      </c>
      <c r="G34" s="9">
        <v>1442</v>
      </c>
      <c r="H34" s="9">
        <v>198996</v>
      </c>
      <c r="I34" s="9">
        <v>4522.6400000000003</v>
      </c>
      <c r="J34">
        <v>44</v>
      </c>
      <c r="K34">
        <v>71</v>
      </c>
      <c r="L34">
        <v>47</v>
      </c>
      <c r="M34" t="s">
        <v>2095</v>
      </c>
    </row>
    <row r="35" spans="1:13">
      <c r="A35" s="4">
        <v>46203</v>
      </c>
      <c r="B35" t="s">
        <v>36</v>
      </c>
      <c r="C35" t="s">
        <v>2129</v>
      </c>
      <c r="D35" t="s">
        <v>231</v>
      </c>
      <c r="E35" t="s">
        <v>232</v>
      </c>
      <c r="F35">
        <v>386</v>
      </c>
      <c r="G35" s="9">
        <v>1452</v>
      </c>
      <c r="H35" s="9">
        <v>560472</v>
      </c>
      <c r="I35" s="9">
        <v>17514.75</v>
      </c>
      <c r="J35">
        <v>32</v>
      </c>
      <c r="K35">
        <v>167</v>
      </c>
      <c r="L35">
        <v>106</v>
      </c>
      <c r="M35" t="s">
        <v>2095</v>
      </c>
    </row>
    <row r="36" spans="1:13">
      <c r="A36" s="4">
        <v>46203</v>
      </c>
      <c r="B36" t="s">
        <v>36</v>
      </c>
      <c r="C36" t="s">
        <v>2130</v>
      </c>
      <c r="D36" t="s">
        <v>231</v>
      </c>
      <c r="E36" t="s">
        <v>232</v>
      </c>
      <c r="F36">
        <v>50</v>
      </c>
      <c r="G36" s="9">
        <v>763</v>
      </c>
      <c r="H36" s="9">
        <v>38150</v>
      </c>
      <c r="I36" s="9">
        <v>1031.08</v>
      </c>
      <c r="J36">
        <v>37</v>
      </c>
      <c r="K36">
        <v>22</v>
      </c>
      <c r="L36">
        <v>11</v>
      </c>
      <c r="M36" t="s">
        <v>2095</v>
      </c>
    </row>
    <row r="37" spans="1:13">
      <c r="A37" s="4">
        <v>46203</v>
      </c>
      <c r="B37" t="s">
        <v>36</v>
      </c>
      <c r="C37" t="s">
        <v>2131</v>
      </c>
      <c r="D37" t="s">
        <v>231</v>
      </c>
      <c r="E37" t="s">
        <v>234</v>
      </c>
      <c r="F37">
        <v>370</v>
      </c>
      <c r="G37" s="9">
        <v>868</v>
      </c>
      <c r="H37" s="9">
        <v>321160</v>
      </c>
      <c r="I37" s="9">
        <v>6059.62</v>
      </c>
      <c r="J37">
        <v>53</v>
      </c>
      <c r="K37">
        <v>252</v>
      </c>
      <c r="L37">
        <v>123</v>
      </c>
      <c r="M37" t="s">
        <v>2095</v>
      </c>
    </row>
    <row r="38" spans="1:13">
      <c r="A38" s="4">
        <v>46203</v>
      </c>
      <c r="B38" t="s">
        <v>36</v>
      </c>
      <c r="C38" t="s">
        <v>2132</v>
      </c>
      <c r="D38" t="s">
        <v>231</v>
      </c>
      <c r="E38" t="s">
        <v>232</v>
      </c>
      <c r="F38">
        <v>95</v>
      </c>
      <c r="G38" s="9">
        <v>970</v>
      </c>
      <c r="H38" s="9">
        <v>92150</v>
      </c>
      <c r="I38" s="9">
        <v>1772.12</v>
      </c>
      <c r="J38">
        <v>52</v>
      </c>
      <c r="K38">
        <v>80</v>
      </c>
      <c r="L38">
        <v>49</v>
      </c>
      <c r="M38" t="s">
        <v>2095</v>
      </c>
    </row>
    <row r="39" spans="1:13">
      <c r="A39" s="4">
        <v>46203</v>
      </c>
      <c r="B39" t="s">
        <v>36</v>
      </c>
      <c r="C39" t="s">
        <v>2133</v>
      </c>
      <c r="D39" t="s">
        <v>231</v>
      </c>
      <c r="E39" t="s">
        <v>234</v>
      </c>
      <c r="F39">
        <v>433</v>
      </c>
      <c r="G39" s="9">
        <v>1474</v>
      </c>
      <c r="H39" s="9">
        <v>638242</v>
      </c>
      <c r="I39" s="9">
        <v>15566.88</v>
      </c>
      <c r="J39">
        <v>41</v>
      </c>
      <c r="K39">
        <v>175</v>
      </c>
      <c r="L39">
        <v>97</v>
      </c>
      <c r="M39" t="s">
        <v>2095</v>
      </c>
    </row>
    <row r="40" spans="1:13">
      <c r="A40" s="4">
        <v>46203</v>
      </c>
      <c r="B40" t="s">
        <v>36</v>
      </c>
      <c r="C40" t="s">
        <v>2134</v>
      </c>
      <c r="D40" t="s">
        <v>231</v>
      </c>
      <c r="E40" t="s">
        <v>239</v>
      </c>
      <c r="F40">
        <v>345</v>
      </c>
      <c r="G40" s="9">
        <v>801</v>
      </c>
      <c r="H40" s="9">
        <v>276345</v>
      </c>
      <c r="I40" s="9">
        <v>5879.68</v>
      </c>
      <c r="J40">
        <v>47</v>
      </c>
      <c r="K40">
        <v>122</v>
      </c>
      <c r="L40">
        <v>58</v>
      </c>
      <c r="M40" t="s">
        <v>2095</v>
      </c>
    </row>
    <row r="41" spans="1:13">
      <c r="A41" s="4">
        <v>46203</v>
      </c>
      <c r="B41" t="s">
        <v>36</v>
      </c>
      <c r="C41" t="s">
        <v>2135</v>
      </c>
      <c r="D41" t="s">
        <v>231</v>
      </c>
      <c r="E41" t="s">
        <v>232</v>
      </c>
      <c r="F41">
        <v>115</v>
      </c>
      <c r="G41" s="9">
        <v>1698</v>
      </c>
      <c r="H41" s="9">
        <v>195270</v>
      </c>
      <c r="I41" s="9">
        <v>3985.1</v>
      </c>
      <c r="J41">
        <v>49</v>
      </c>
      <c r="K41">
        <v>96</v>
      </c>
      <c r="L41">
        <v>49</v>
      </c>
      <c r="M41" t="s">
        <v>2095</v>
      </c>
    </row>
    <row r="42" spans="1:13">
      <c r="A42" s="4">
        <v>46203</v>
      </c>
      <c r="B42" t="s">
        <v>36</v>
      </c>
      <c r="C42" t="s">
        <v>2136</v>
      </c>
      <c r="D42" t="s">
        <v>231</v>
      </c>
      <c r="E42" t="s">
        <v>232</v>
      </c>
      <c r="F42">
        <v>162</v>
      </c>
      <c r="G42" s="9">
        <v>668</v>
      </c>
      <c r="H42" s="9">
        <v>108216</v>
      </c>
      <c r="I42" s="9">
        <v>2639.41</v>
      </c>
      <c r="J42">
        <v>41</v>
      </c>
      <c r="K42">
        <v>114</v>
      </c>
      <c r="L42">
        <v>65</v>
      </c>
      <c r="M42" t="s">
        <v>2095</v>
      </c>
    </row>
    <row r="43" spans="1:13">
      <c r="A43" s="4">
        <v>46203</v>
      </c>
      <c r="B43" t="s">
        <v>36</v>
      </c>
      <c r="C43" t="s">
        <v>2137</v>
      </c>
      <c r="D43" t="s">
        <v>231</v>
      </c>
      <c r="E43" t="s">
        <v>232</v>
      </c>
      <c r="F43">
        <v>406</v>
      </c>
      <c r="G43" s="9">
        <v>611</v>
      </c>
      <c r="H43" s="9">
        <v>248066</v>
      </c>
      <c r="I43" s="9">
        <v>7087.6</v>
      </c>
      <c r="J43">
        <v>35</v>
      </c>
      <c r="K43">
        <v>217</v>
      </c>
      <c r="L43">
        <v>108</v>
      </c>
      <c r="M43" t="s">
        <v>2095</v>
      </c>
    </row>
    <row r="44" spans="1:13">
      <c r="A44" s="4">
        <v>46203</v>
      </c>
      <c r="B44" t="s">
        <v>36</v>
      </c>
      <c r="C44" t="s">
        <v>2138</v>
      </c>
      <c r="D44" t="s">
        <v>231</v>
      </c>
      <c r="E44" t="s">
        <v>243</v>
      </c>
      <c r="F44">
        <v>307</v>
      </c>
      <c r="G44" s="9">
        <v>1255</v>
      </c>
      <c r="H44" s="9">
        <v>385285</v>
      </c>
      <c r="I44" s="9">
        <v>7409.33</v>
      </c>
      <c r="J44">
        <v>52</v>
      </c>
      <c r="K44">
        <v>243</v>
      </c>
      <c r="L44">
        <v>134</v>
      </c>
      <c r="M44" t="s">
        <v>2095</v>
      </c>
    </row>
    <row r="45" spans="1:13">
      <c r="A45" s="4">
        <v>46203</v>
      </c>
      <c r="B45" t="s">
        <v>36</v>
      </c>
      <c r="C45" t="s">
        <v>2139</v>
      </c>
      <c r="D45" t="s">
        <v>231</v>
      </c>
      <c r="E45" t="s">
        <v>232</v>
      </c>
      <c r="F45">
        <v>150</v>
      </c>
      <c r="G45" s="9">
        <v>1797</v>
      </c>
      <c r="H45" s="9">
        <v>269550</v>
      </c>
      <c r="I45" s="9">
        <v>8168.18</v>
      </c>
      <c r="J45">
        <v>33</v>
      </c>
      <c r="K45">
        <v>78</v>
      </c>
      <c r="L45">
        <v>50</v>
      </c>
      <c r="M45" t="s">
        <v>2095</v>
      </c>
    </row>
    <row r="46" spans="1:13">
      <c r="A46" s="4">
        <v>46203</v>
      </c>
      <c r="B46" t="s">
        <v>36</v>
      </c>
      <c r="C46" t="s">
        <v>2140</v>
      </c>
      <c r="D46" t="s">
        <v>231</v>
      </c>
      <c r="E46" t="s">
        <v>239</v>
      </c>
      <c r="F46">
        <v>474</v>
      </c>
      <c r="G46" s="9">
        <v>1335</v>
      </c>
      <c r="H46" s="9">
        <v>632790</v>
      </c>
      <c r="I46" s="9">
        <v>18079.71</v>
      </c>
      <c r="J46">
        <v>35</v>
      </c>
      <c r="K46">
        <v>250</v>
      </c>
      <c r="L46">
        <v>168</v>
      </c>
      <c r="M46" t="s">
        <v>2095</v>
      </c>
    </row>
    <row r="47" spans="1:13">
      <c r="A47" s="4">
        <v>46203</v>
      </c>
      <c r="B47" t="s">
        <v>36</v>
      </c>
      <c r="C47" t="s">
        <v>2141</v>
      </c>
      <c r="D47" t="s">
        <v>231</v>
      </c>
      <c r="E47" t="s">
        <v>232</v>
      </c>
      <c r="F47">
        <v>362</v>
      </c>
      <c r="G47" s="9">
        <v>859</v>
      </c>
      <c r="H47" s="9">
        <v>310958</v>
      </c>
      <c r="I47" s="9">
        <v>9717.44</v>
      </c>
      <c r="J47">
        <v>32</v>
      </c>
      <c r="K47">
        <v>265</v>
      </c>
      <c r="L47">
        <v>164</v>
      </c>
      <c r="M47" t="s">
        <v>2095</v>
      </c>
    </row>
    <row r="48" spans="1:13">
      <c r="A48" s="4">
        <v>46203</v>
      </c>
      <c r="B48" t="s">
        <v>36</v>
      </c>
      <c r="C48" t="s">
        <v>2142</v>
      </c>
      <c r="D48" t="s">
        <v>231</v>
      </c>
      <c r="E48" t="s">
        <v>239</v>
      </c>
      <c r="F48">
        <v>356</v>
      </c>
      <c r="G48" s="9">
        <v>1251</v>
      </c>
      <c r="H48" s="9">
        <v>445356</v>
      </c>
      <c r="I48" s="9">
        <v>8907.1200000000008</v>
      </c>
      <c r="J48">
        <v>50</v>
      </c>
      <c r="K48">
        <v>281</v>
      </c>
      <c r="L48">
        <v>174</v>
      </c>
      <c r="M48" t="s">
        <v>2095</v>
      </c>
    </row>
    <row r="49" spans="1:13">
      <c r="A49" s="4">
        <v>46203</v>
      </c>
      <c r="B49" t="s">
        <v>36</v>
      </c>
      <c r="C49" t="s">
        <v>2143</v>
      </c>
      <c r="D49" t="s">
        <v>231</v>
      </c>
      <c r="E49" t="s">
        <v>232</v>
      </c>
      <c r="F49">
        <v>290</v>
      </c>
      <c r="G49" s="9">
        <v>1174</v>
      </c>
      <c r="H49" s="9">
        <v>340460</v>
      </c>
      <c r="I49" s="9">
        <v>5158.4799999999996</v>
      </c>
      <c r="J49">
        <v>66</v>
      </c>
      <c r="K49">
        <v>107</v>
      </c>
      <c r="L49">
        <v>73</v>
      </c>
      <c r="M49" t="s">
        <v>2119</v>
      </c>
    </row>
    <row r="50" spans="1:13">
      <c r="A50" s="4">
        <v>46203</v>
      </c>
      <c r="B50" t="s">
        <v>36</v>
      </c>
      <c r="C50" t="s">
        <v>2144</v>
      </c>
      <c r="D50" t="s">
        <v>231</v>
      </c>
      <c r="E50" t="s">
        <v>234</v>
      </c>
      <c r="F50">
        <v>111</v>
      </c>
      <c r="G50" s="9">
        <v>459</v>
      </c>
      <c r="H50" s="9">
        <v>50949</v>
      </c>
      <c r="I50" s="9">
        <v>1543.91</v>
      </c>
      <c r="J50">
        <v>33</v>
      </c>
      <c r="K50">
        <v>52</v>
      </c>
      <c r="L50">
        <v>35</v>
      </c>
      <c r="M50" t="s">
        <v>2095</v>
      </c>
    </row>
    <row r="51" spans="1:13">
      <c r="A51" s="4">
        <v>46203</v>
      </c>
      <c r="B51" t="s">
        <v>36</v>
      </c>
      <c r="C51" t="s">
        <v>2145</v>
      </c>
      <c r="D51" t="s">
        <v>231</v>
      </c>
      <c r="E51" t="s">
        <v>232</v>
      </c>
      <c r="F51">
        <v>84</v>
      </c>
      <c r="G51" s="9">
        <v>1192</v>
      </c>
      <c r="H51" s="9">
        <v>100128</v>
      </c>
      <c r="I51" s="9">
        <v>2860.8</v>
      </c>
      <c r="J51">
        <v>35</v>
      </c>
      <c r="K51">
        <v>36</v>
      </c>
      <c r="L51">
        <v>21</v>
      </c>
      <c r="M51" t="s">
        <v>2095</v>
      </c>
    </row>
    <row r="52" spans="1:13">
      <c r="A52" s="4">
        <v>46203</v>
      </c>
      <c r="B52" t="s">
        <v>36</v>
      </c>
      <c r="C52" t="s">
        <v>2146</v>
      </c>
      <c r="D52" t="s">
        <v>231</v>
      </c>
      <c r="E52" t="s">
        <v>234</v>
      </c>
      <c r="F52">
        <v>110</v>
      </c>
      <c r="G52" s="9">
        <v>1397</v>
      </c>
      <c r="H52" s="9">
        <v>153670</v>
      </c>
      <c r="I52" s="9">
        <v>5122.33</v>
      </c>
      <c r="J52">
        <v>30</v>
      </c>
      <c r="K52">
        <v>66</v>
      </c>
      <c r="L52">
        <v>35</v>
      </c>
      <c r="M52" t="s">
        <v>2095</v>
      </c>
    </row>
    <row r="53" spans="1:13">
      <c r="A53" s="4">
        <v>46203</v>
      </c>
      <c r="B53" t="s">
        <v>36</v>
      </c>
      <c r="C53" t="s">
        <v>2147</v>
      </c>
      <c r="D53" t="s">
        <v>231</v>
      </c>
      <c r="E53" t="s">
        <v>239</v>
      </c>
      <c r="F53">
        <v>480</v>
      </c>
      <c r="G53" s="9">
        <v>1205</v>
      </c>
      <c r="H53" s="9">
        <v>578400</v>
      </c>
      <c r="I53" s="9">
        <v>19280</v>
      </c>
      <c r="J53">
        <v>30</v>
      </c>
      <c r="K53">
        <v>396</v>
      </c>
      <c r="L53">
        <v>265</v>
      </c>
      <c r="M53" t="s">
        <v>2095</v>
      </c>
    </row>
    <row r="54" spans="1:13">
      <c r="A54" s="4">
        <v>46203</v>
      </c>
      <c r="B54" t="s">
        <v>36</v>
      </c>
      <c r="C54" t="s">
        <v>2148</v>
      </c>
      <c r="D54" t="s">
        <v>231</v>
      </c>
      <c r="E54" t="s">
        <v>243</v>
      </c>
      <c r="F54">
        <v>246</v>
      </c>
      <c r="G54" s="9">
        <v>1206</v>
      </c>
      <c r="H54" s="9">
        <v>296676</v>
      </c>
      <c r="I54" s="9">
        <v>8990.18</v>
      </c>
      <c r="J54">
        <v>33</v>
      </c>
      <c r="K54">
        <v>96</v>
      </c>
      <c r="L54">
        <v>55</v>
      </c>
      <c r="M54" t="s">
        <v>2095</v>
      </c>
    </row>
    <row r="55" spans="1:13">
      <c r="A55" s="4">
        <v>46203</v>
      </c>
      <c r="B55" t="s">
        <v>36</v>
      </c>
      <c r="C55" t="s">
        <v>2149</v>
      </c>
      <c r="D55" t="s">
        <v>231</v>
      </c>
      <c r="E55" t="s">
        <v>234</v>
      </c>
      <c r="F55">
        <v>235</v>
      </c>
      <c r="G55" s="9">
        <v>523</v>
      </c>
      <c r="H55" s="9">
        <v>122905</v>
      </c>
      <c r="I55" s="9">
        <v>2276.02</v>
      </c>
      <c r="J55">
        <v>54</v>
      </c>
      <c r="K55">
        <v>150</v>
      </c>
      <c r="L55">
        <v>96</v>
      </c>
      <c r="M55" t="s">
        <v>2095</v>
      </c>
    </row>
    <row r="56" spans="1:13">
      <c r="A56" s="4">
        <v>46203</v>
      </c>
      <c r="B56" t="s">
        <v>36</v>
      </c>
      <c r="C56" t="s">
        <v>2150</v>
      </c>
      <c r="D56" t="s">
        <v>231</v>
      </c>
      <c r="E56" t="s">
        <v>232</v>
      </c>
      <c r="F56">
        <v>203</v>
      </c>
      <c r="G56" s="9">
        <v>474</v>
      </c>
      <c r="H56" s="9">
        <v>96222</v>
      </c>
      <c r="I56" s="9">
        <v>1963.71</v>
      </c>
      <c r="J56">
        <v>49</v>
      </c>
      <c r="K56">
        <v>169</v>
      </c>
      <c r="L56">
        <v>92</v>
      </c>
      <c r="M56" t="s">
        <v>2095</v>
      </c>
    </row>
    <row r="57" spans="1:13">
      <c r="A57" s="4">
        <v>46203</v>
      </c>
      <c r="B57" t="s">
        <v>36</v>
      </c>
      <c r="C57" t="s">
        <v>2151</v>
      </c>
      <c r="D57" t="s">
        <v>231</v>
      </c>
      <c r="E57" t="s">
        <v>243</v>
      </c>
      <c r="F57">
        <v>400</v>
      </c>
      <c r="G57" s="9">
        <v>1638</v>
      </c>
      <c r="H57" s="9">
        <v>655200</v>
      </c>
      <c r="I57" s="9">
        <v>12600</v>
      </c>
      <c r="J57">
        <v>52</v>
      </c>
      <c r="K57">
        <v>177</v>
      </c>
      <c r="L57">
        <v>89</v>
      </c>
      <c r="M57" t="s">
        <v>2095</v>
      </c>
    </row>
    <row r="58" spans="1:13">
      <c r="A58" s="4">
        <v>46203</v>
      </c>
      <c r="B58" t="s">
        <v>36</v>
      </c>
      <c r="C58" t="s">
        <v>2152</v>
      </c>
      <c r="D58" t="s">
        <v>231</v>
      </c>
      <c r="E58" t="s">
        <v>232</v>
      </c>
      <c r="F58">
        <v>226</v>
      </c>
      <c r="G58" s="9">
        <v>1019</v>
      </c>
      <c r="H58" s="9">
        <v>230294</v>
      </c>
      <c r="I58" s="9">
        <v>4515.57</v>
      </c>
      <c r="J58">
        <v>51</v>
      </c>
      <c r="K58">
        <v>147</v>
      </c>
      <c r="L58">
        <v>72</v>
      </c>
      <c r="M58" t="s">
        <v>2095</v>
      </c>
    </row>
    <row r="59" spans="1:13">
      <c r="A59" s="4">
        <v>46203</v>
      </c>
      <c r="B59" t="s">
        <v>36</v>
      </c>
      <c r="C59" t="s">
        <v>2153</v>
      </c>
      <c r="D59" t="s">
        <v>231</v>
      </c>
      <c r="E59" t="s">
        <v>239</v>
      </c>
      <c r="F59">
        <v>116</v>
      </c>
      <c r="G59" s="9">
        <v>745</v>
      </c>
      <c r="H59" s="9">
        <v>86420</v>
      </c>
      <c r="I59" s="9">
        <v>2400.56</v>
      </c>
      <c r="J59">
        <v>36</v>
      </c>
      <c r="K59">
        <v>48</v>
      </c>
      <c r="L59">
        <v>32</v>
      </c>
      <c r="M59" t="s">
        <v>2095</v>
      </c>
    </row>
    <row r="60" spans="1:13">
      <c r="A60" s="4">
        <v>46203</v>
      </c>
      <c r="B60" t="s">
        <v>36</v>
      </c>
      <c r="C60" t="s">
        <v>2154</v>
      </c>
      <c r="D60" t="s">
        <v>231</v>
      </c>
      <c r="E60" t="s">
        <v>232</v>
      </c>
      <c r="F60">
        <v>95</v>
      </c>
      <c r="G60" s="9">
        <v>700</v>
      </c>
      <c r="H60" s="9">
        <v>66500</v>
      </c>
      <c r="I60" s="9">
        <v>1900</v>
      </c>
      <c r="J60">
        <v>35</v>
      </c>
      <c r="K60">
        <v>43</v>
      </c>
      <c r="L60">
        <v>23</v>
      </c>
      <c r="M60" t="s">
        <v>2095</v>
      </c>
    </row>
    <row r="61" spans="1:13">
      <c r="A61" s="4">
        <v>46203</v>
      </c>
      <c r="B61" t="s">
        <v>36</v>
      </c>
      <c r="C61" t="s">
        <v>2155</v>
      </c>
      <c r="D61" t="s">
        <v>231</v>
      </c>
      <c r="E61" t="s">
        <v>232</v>
      </c>
      <c r="F61">
        <v>474</v>
      </c>
      <c r="G61" s="9">
        <v>1103</v>
      </c>
      <c r="H61" s="9">
        <v>522822</v>
      </c>
      <c r="I61" s="9">
        <v>12158.65</v>
      </c>
      <c r="J61">
        <v>43</v>
      </c>
      <c r="K61">
        <v>297</v>
      </c>
      <c r="L61">
        <v>157</v>
      </c>
      <c r="M61" t="s">
        <v>2095</v>
      </c>
    </row>
    <row r="62" spans="1:13">
      <c r="A62" s="4">
        <v>46203</v>
      </c>
      <c r="B62" t="s">
        <v>36</v>
      </c>
      <c r="C62" t="s">
        <v>2156</v>
      </c>
      <c r="D62" t="s">
        <v>396</v>
      </c>
      <c r="E62" t="s">
        <v>402</v>
      </c>
      <c r="F62">
        <v>241</v>
      </c>
      <c r="G62" s="9">
        <v>1814</v>
      </c>
      <c r="H62" s="9">
        <v>437174</v>
      </c>
      <c r="I62" s="9">
        <v>8572.0400000000009</v>
      </c>
      <c r="J62">
        <v>51</v>
      </c>
      <c r="K62">
        <v>188</v>
      </c>
      <c r="L62">
        <v>121</v>
      </c>
      <c r="M62" t="s">
        <v>2095</v>
      </c>
    </row>
    <row r="63" spans="1:13">
      <c r="A63" s="4">
        <v>46203</v>
      </c>
      <c r="B63" t="s">
        <v>36</v>
      </c>
      <c r="C63" t="s">
        <v>2157</v>
      </c>
      <c r="D63" t="s">
        <v>396</v>
      </c>
      <c r="E63" t="s">
        <v>402</v>
      </c>
      <c r="F63">
        <v>403</v>
      </c>
      <c r="G63" s="9">
        <v>1400</v>
      </c>
      <c r="H63" s="9">
        <v>564200</v>
      </c>
      <c r="I63" s="9">
        <v>12004.26</v>
      </c>
      <c r="J63">
        <v>47</v>
      </c>
      <c r="K63">
        <v>241</v>
      </c>
      <c r="L63">
        <v>156</v>
      </c>
      <c r="M63" t="s">
        <v>2095</v>
      </c>
    </row>
    <row r="64" spans="1:13">
      <c r="A64" s="4">
        <v>46203</v>
      </c>
      <c r="B64" t="s">
        <v>36</v>
      </c>
      <c r="C64" t="s">
        <v>2158</v>
      </c>
      <c r="D64" t="s">
        <v>396</v>
      </c>
      <c r="E64" t="s">
        <v>399</v>
      </c>
      <c r="F64">
        <v>350</v>
      </c>
      <c r="G64" s="9">
        <v>3256</v>
      </c>
      <c r="H64" s="9">
        <v>1139600</v>
      </c>
      <c r="I64" s="9">
        <v>22792</v>
      </c>
      <c r="J64">
        <v>50</v>
      </c>
      <c r="K64">
        <v>257</v>
      </c>
      <c r="L64">
        <v>173</v>
      </c>
      <c r="M64" t="s">
        <v>2095</v>
      </c>
    </row>
    <row r="65" spans="1:13">
      <c r="A65" s="4">
        <v>46203</v>
      </c>
      <c r="B65" t="s">
        <v>36</v>
      </c>
      <c r="C65" t="s">
        <v>2159</v>
      </c>
      <c r="D65" t="s">
        <v>396</v>
      </c>
      <c r="E65" t="s">
        <v>399</v>
      </c>
      <c r="F65">
        <v>152</v>
      </c>
      <c r="G65" s="9">
        <v>2088</v>
      </c>
      <c r="H65" s="9">
        <v>317376</v>
      </c>
      <c r="I65" s="9">
        <v>5667.43</v>
      </c>
      <c r="J65">
        <v>56</v>
      </c>
      <c r="K65">
        <v>81</v>
      </c>
      <c r="L65">
        <v>46</v>
      </c>
      <c r="M65" t="s">
        <v>2095</v>
      </c>
    </row>
    <row r="66" spans="1:13">
      <c r="A66" s="4">
        <v>46203</v>
      </c>
      <c r="B66" t="s">
        <v>36</v>
      </c>
      <c r="C66" t="s">
        <v>2160</v>
      </c>
      <c r="D66" t="s">
        <v>396</v>
      </c>
      <c r="E66" t="s">
        <v>397</v>
      </c>
      <c r="F66">
        <v>251</v>
      </c>
      <c r="G66" s="9">
        <v>3482</v>
      </c>
      <c r="H66" s="9">
        <v>873982</v>
      </c>
      <c r="I66" s="9">
        <v>15068.66</v>
      </c>
      <c r="J66">
        <v>58</v>
      </c>
      <c r="K66">
        <v>150</v>
      </c>
      <c r="L66">
        <v>103</v>
      </c>
      <c r="M66" t="s">
        <v>2095</v>
      </c>
    </row>
    <row r="67" spans="1:13">
      <c r="A67" s="4">
        <v>46203</v>
      </c>
      <c r="B67" t="s">
        <v>36</v>
      </c>
      <c r="C67" t="s">
        <v>2161</v>
      </c>
      <c r="D67" t="s">
        <v>396</v>
      </c>
      <c r="E67" t="s">
        <v>399</v>
      </c>
      <c r="F67">
        <v>270</v>
      </c>
      <c r="G67" s="9">
        <v>818</v>
      </c>
      <c r="H67" s="9">
        <v>220860</v>
      </c>
      <c r="I67" s="9">
        <v>4601.25</v>
      </c>
      <c r="J67">
        <v>48</v>
      </c>
      <c r="K67">
        <v>105</v>
      </c>
      <c r="L67">
        <v>56</v>
      </c>
      <c r="M67" t="s">
        <v>2095</v>
      </c>
    </row>
    <row r="68" spans="1:13">
      <c r="A68" s="4">
        <v>46203</v>
      </c>
      <c r="B68" t="s">
        <v>36</v>
      </c>
      <c r="C68" t="s">
        <v>2162</v>
      </c>
      <c r="D68" t="s">
        <v>396</v>
      </c>
      <c r="E68" t="s">
        <v>399</v>
      </c>
      <c r="F68">
        <v>61</v>
      </c>
      <c r="G68" s="9">
        <v>2645</v>
      </c>
      <c r="H68" s="9">
        <v>161345</v>
      </c>
      <c r="I68" s="9">
        <v>3752.21</v>
      </c>
      <c r="J68">
        <v>43</v>
      </c>
      <c r="K68">
        <v>31</v>
      </c>
      <c r="L68">
        <v>20</v>
      </c>
      <c r="M68" t="s">
        <v>2095</v>
      </c>
    </row>
    <row r="69" spans="1:13">
      <c r="A69" s="4">
        <v>46203</v>
      </c>
      <c r="B69" t="s">
        <v>36</v>
      </c>
      <c r="C69" t="s">
        <v>2163</v>
      </c>
      <c r="D69" t="s">
        <v>396</v>
      </c>
      <c r="E69" t="s">
        <v>399</v>
      </c>
      <c r="F69">
        <v>310</v>
      </c>
      <c r="G69" s="9">
        <v>1059</v>
      </c>
      <c r="H69" s="9">
        <v>328290</v>
      </c>
      <c r="I69" s="9">
        <v>7461.14</v>
      </c>
      <c r="J69">
        <v>44</v>
      </c>
      <c r="K69">
        <v>226</v>
      </c>
      <c r="L69">
        <v>135</v>
      </c>
      <c r="M69" t="s">
        <v>2095</v>
      </c>
    </row>
    <row r="70" spans="1:13">
      <c r="A70" s="4">
        <v>46203</v>
      </c>
      <c r="B70" t="s">
        <v>36</v>
      </c>
      <c r="C70" t="s">
        <v>2164</v>
      </c>
      <c r="D70" t="s">
        <v>396</v>
      </c>
      <c r="E70" t="s">
        <v>404</v>
      </c>
      <c r="F70">
        <v>452</v>
      </c>
      <c r="G70" s="9">
        <v>1861</v>
      </c>
      <c r="H70" s="9">
        <v>841172</v>
      </c>
      <c r="I70" s="9">
        <v>22734.38</v>
      </c>
      <c r="J70">
        <v>37</v>
      </c>
      <c r="K70">
        <v>247</v>
      </c>
      <c r="L70">
        <v>163</v>
      </c>
      <c r="M70" t="s">
        <v>2095</v>
      </c>
    </row>
    <row r="71" spans="1:13">
      <c r="A71" s="4">
        <v>46203</v>
      </c>
      <c r="B71" t="s">
        <v>36</v>
      </c>
      <c r="C71" t="s">
        <v>2165</v>
      </c>
      <c r="D71" t="s">
        <v>396</v>
      </c>
      <c r="E71" t="s">
        <v>404</v>
      </c>
      <c r="F71">
        <v>107</v>
      </c>
      <c r="G71" s="9">
        <v>355</v>
      </c>
      <c r="H71" s="9">
        <v>37985</v>
      </c>
      <c r="I71" s="9">
        <v>904.4</v>
      </c>
      <c r="J71">
        <v>42</v>
      </c>
      <c r="K71">
        <v>61</v>
      </c>
      <c r="L71">
        <v>42</v>
      </c>
      <c r="M71" t="s">
        <v>2095</v>
      </c>
    </row>
    <row r="72" spans="1:13">
      <c r="A72" s="4">
        <v>46203</v>
      </c>
      <c r="B72" t="s">
        <v>36</v>
      </c>
      <c r="C72" t="s">
        <v>2166</v>
      </c>
      <c r="D72" t="s">
        <v>396</v>
      </c>
      <c r="E72" t="s">
        <v>399</v>
      </c>
      <c r="F72">
        <v>172</v>
      </c>
      <c r="G72" s="9">
        <v>786</v>
      </c>
      <c r="H72" s="9">
        <v>135192</v>
      </c>
      <c r="I72" s="9">
        <v>3557.68</v>
      </c>
      <c r="J72">
        <v>38</v>
      </c>
      <c r="K72">
        <v>83</v>
      </c>
      <c r="L72">
        <v>45</v>
      </c>
      <c r="M72" t="s">
        <v>2095</v>
      </c>
    </row>
    <row r="73" spans="1:13">
      <c r="A73" s="4">
        <v>46203</v>
      </c>
      <c r="B73" t="s">
        <v>36</v>
      </c>
      <c r="C73" t="s">
        <v>2167</v>
      </c>
      <c r="D73" t="s">
        <v>396</v>
      </c>
      <c r="E73" t="s">
        <v>404</v>
      </c>
      <c r="F73">
        <v>76</v>
      </c>
      <c r="G73" s="9">
        <v>2965</v>
      </c>
      <c r="H73" s="9">
        <v>225340</v>
      </c>
      <c r="I73" s="9">
        <v>5930</v>
      </c>
      <c r="J73">
        <v>38</v>
      </c>
      <c r="K73">
        <v>47</v>
      </c>
      <c r="L73">
        <v>23</v>
      </c>
      <c r="M73" t="s">
        <v>2095</v>
      </c>
    </row>
    <row r="74" spans="1:13">
      <c r="A74" s="4">
        <v>46203</v>
      </c>
      <c r="B74" t="s">
        <v>36</v>
      </c>
      <c r="C74" t="s">
        <v>2168</v>
      </c>
      <c r="D74" t="s">
        <v>396</v>
      </c>
      <c r="E74" t="s">
        <v>404</v>
      </c>
      <c r="F74">
        <v>262</v>
      </c>
      <c r="G74" s="9">
        <v>1532</v>
      </c>
      <c r="H74" s="9">
        <v>401384</v>
      </c>
      <c r="I74" s="9">
        <v>7041.82</v>
      </c>
      <c r="J74">
        <v>57</v>
      </c>
      <c r="K74">
        <v>193</v>
      </c>
      <c r="L74">
        <v>129</v>
      </c>
      <c r="M74" t="s">
        <v>2095</v>
      </c>
    </row>
    <row r="75" spans="1:13">
      <c r="A75" s="4">
        <v>46203</v>
      </c>
      <c r="B75" t="s">
        <v>36</v>
      </c>
      <c r="C75" t="s">
        <v>2169</v>
      </c>
      <c r="D75" t="s">
        <v>396</v>
      </c>
      <c r="E75" t="s">
        <v>402</v>
      </c>
      <c r="F75">
        <v>417</v>
      </c>
      <c r="G75" s="9">
        <v>2154</v>
      </c>
      <c r="H75" s="9">
        <v>898218</v>
      </c>
      <c r="I75" s="9">
        <v>16039.61</v>
      </c>
      <c r="J75">
        <v>56</v>
      </c>
      <c r="K75">
        <v>264</v>
      </c>
      <c r="L75">
        <v>133</v>
      </c>
      <c r="M75" t="s">
        <v>2095</v>
      </c>
    </row>
    <row r="76" spans="1:13">
      <c r="A76" s="4">
        <v>46203</v>
      </c>
      <c r="B76" t="s">
        <v>36</v>
      </c>
      <c r="C76" t="s">
        <v>2170</v>
      </c>
      <c r="D76" t="s">
        <v>396</v>
      </c>
      <c r="E76" t="s">
        <v>397</v>
      </c>
      <c r="F76">
        <v>165</v>
      </c>
      <c r="G76" s="9">
        <v>374</v>
      </c>
      <c r="H76" s="9">
        <v>61710</v>
      </c>
      <c r="I76" s="9">
        <v>1210</v>
      </c>
      <c r="J76">
        <v>51</v>
      </c>
      <c r="K76">
        <v>60</v>
      </c>
      <c r="L76">
        <v>36</v>
      </c>
      <c r="M76" t="s">
        <v>2095</v>
      </c>
    </row>
    <row r="77" spans="1:13">
      <c r="A77" s="4">
        <v>46203</v>
      </c>
      <c r="B77" t="s">
        <v>36</v>
      </c>
      <c r="C77" t="s">
        <v>2171</v>
      </c>
      <c r="D77" t="s">
        <v>396</v>
      </c>
      <c r="E77" t="s">
        <v>399</v>
      </c>
      <c r="F77">
        <v>303</v>
      </c>
      <c r="G77" s="9">
        <v>984</v>
      </c>
      <c r="H77" s="9">
        <v>298152</v>
      </c>
      <c r="I77" s="9">
        <v>7644.92</v>
      </c>
      <c r="J77">
        <v>39</v>
      </c>
      <c r="K77">
        <v>127</v>
      </c>
      <c r="L77">
        <v>60</v>
      </c>
      <c r="M77" t="s">
        <v>2095</v>
      </c>
    </row>
    <row r="78" spans="1:13">
      <c r="A78" s="4">
        <v>46203</v>
      </c>
      <c r="B78" t="s">
        <v>36</v>
      </c>
      <c r="C78" t="s">
        <v>2172</v>
      </c>
      <c r="D78" t="s">
        <v>396</v>
      </c>
      <c r="E78" t="s">
        <v>399</v>
      </c>
      <c r="F78">
        <v>423</v>
      </c>
      <c r="G78" s="9">
        <v>678</v>
      </c>
      <c r="H78" s="9">
        <v>286794</v>
      </c>
      <c r="I78" s="9">
        <v>5311</v>
      </c>
      <c r="J78">
        <v>54</v>
      </c>
      <c r="K78">
        <v>341</v>
      </c>
      <c r="L78">
        <v>200</v>
      </c>
      <c r="M78" t="s">
        <v>2095</v>
      </c>
    </row>
    <row r="79" spans="1:13">
      <c r="A79" s="4">
        <v>46203</v>
      </c>
      <c r="B79" t="s">
        <v>36</v>
      </c>
      <c r="C79" t="s">
        <v>2173</v>
      </c>
      <c r="D79" t="s">
        <v>396</v>
      </c>
      <c r="E79" t="s">
        <v>402</v>
      </c>
      <c r="F79">
        <v>130</v>
      </c>
      <c r="G79" s="9">
        <v>2994</v>
      </c>
      <c r="H79" s="9">
        <v>389220</v>
      </c>
      <c r="I79" s="9">
        <v>6710.69</v>
      </c>
      <c r="J79">
        <v>58</v>
      </c>
      <c r="K79">
        <v>63</v>
      </c>
      <c r="L79">
        <v>42</v>
      </c>
      <c r="M79" t="s">
        <v>2095</v>
      </c>
    </row>
    <row r="80" spans="1:13">
      <c r="A80" s="4">
        <v>46203</v>
      </c>
      <c r="B80" t="s">
        <v>36</v>
      </c>
      <c r="C80" t="s">
        <v>2174</v>
      </c>
      <c r="D80" t="s">
        <v>396</v>
      </c>
      <c r="E80" t="s">
        <v>402</v>
      </c>
      <c r="F80">
        <v>308</v>
      </c>
      <c r="G80" s="9">
        <v>1363</v>
      </c>
      <c r="H80" s="9">
        <v>419804</v>
      </c>
      <c r="I80" s="9">
        <v>7496.5</v>
      </c>
      <c r="J80">
        <v>56</v>
      </c>
      <c r="K80">
        <v>148</v>
      </c>
      <c r="L80">
        <v>91</v>
      </c>
      <c r="M80" t="s">
        <v>2095</v>
      </c>
    </row>
    <row r="81" spans="1:13">
      <c r="A81" s="4">
        <v>46203</v>
      </c>
      <c r="B81" t="s">
        <v>36</v>
      </c>
      <c r="C81" t="s">
        <v>2175</v>
      </c>
      <c r="D81" t="s">
        <v>396</v>
      </c>
      <c r="E81" t="s">
        <v>397</v>
      </c>
      <c r="F81">
        <v>74</v>
      </c>
      <c r="G81" s="9">
        <v>1094</v>
      </c>
      <c r="H81" s="9">
        <v>80956</v>
      </c>
      <c r="I81" s="9">
        <v>1499.19</v>
      </c>
      <c r="J81">
        <v>54</v>
      </c>
      <c r="K81">
        <v>49</v>
      </c>
      <c r="L81">
        <v>24</v>
      </c>
      <c r="M81" t="s">
        <v>2095</v>
      </c>
    </row>
    <row r="82" spans="1:13">
      <c r="A82" s="4">
        <v>46203</v>
      </c>
      <c r="B82" t="s">
        <v>36</v>
      </c>
      <c r="C82" t="s">
        <v>2176</v>
      </c>
      <c r="D82" t="s">
        <v>396</v>
      </c>
      <c r="E82" t="s">
        <v>404</v>
      </c>
      <c r="F82">
        <v>404</v>
      </c>
      <c r="G82" s="9">
        <v>1698</v>
      </c>
      <c r="H82" s="9">
        <v>685992</v>
      </c>
      <c r="I82" s="9">
        <v>19055.330000000002</v>
      </c>
      <c r="J82">
        <v>36</v>
      </c>
      <c r="K82">
        <v>318</v>
      </c>
      <c r="L82">
        <v>208</v>
      </c>
      <c r="M82" t="s">
        <v>2095</v>
      </c>
    </row>
    <row r="83" spans="1:13">
      <c r="A83" s="4">
        <v>46203</v>
      </c>
      <c r="B83" t="s">
        <v>36</v>
      </c>
      <c r="C83" t="s">
        <v>2177</v>
      </c>
      <c r="D83" t="s">
        <v>396</v>
      </c>
      <c r="E83" t="s">
        <v>399</v>
      </c>
      <c r="F83">
        <v>277</v>
      </c>
      <c r="G83" s="9">
        <v>840</v>
      </c>
      <c r="H83" s="9">
        <v>232680</v>
      </c>
      <c r="I83" s="9">
        <v>4308.8900000000003</v>
      </c>
      <c r="J83">
        <v>54</v>
      </c>
      <c r="K83">
        <v>176</v>
      </c>
      <c r="L83">
        <v>96</v>
      </c>
      <c r="M83" t="s">
        <v>2095</v>
      </c>
    </row>
    <row r="84" spans="1:13">
      <c r="A84" s="4">
        <v>46203</v>
      </c>
      <c r="B84" t="s">
        <v>36</v>
      </c>
      <c r="C84" t="s">
        <v>2178</v>
      </c>
      <c r="D84" t="s">
        <v>396</v>
      </c>
      <c r="E84" t="s">
        <v>397</v>
      </c>
      <c r="F84">
        <v>258</v>
      </c>
      <c r="G84" s="9">
        <v>2217</v>
      </c>
      <c r="H84" s="9">
        <v>571986</v>
      </c>
      <c r="I84" s="9">
        <v>10592.33</v>
      </c>
      <c r="J84">
        <v>54</v>
      </c>
      <c r="K84">
        <v>90</v>
      </c>
      <c r="L84">
        <v>46</v>
      </c>
      <c r="M84" t="s">
        <v>2095</v>
      </c>
    </row>
    <row r="85" spans="1:13">
      <c r="A85" s="4">
        <v>46203</v>
      </c>
      <c r="B85" t="s">
        <v>36</v>
      </c>
      <c r="C85" t="s">
        <v>2179</v>
      </c>
      <c r="D85" t="s">
        <v>396</v>
      </c>
      <c r="E85" t="s">
        <v>404</v>
      </c>
      <c r="F85">
        <v>380</v>
      </c>
      <c r="G85" s="9">
        <v>3426</v>
      </c>
      <c r="H85" s="9">
        <v>1301880</v>
      </c>
      <c r="I85" s="9">
        <v>23670.55</v>
      </c>
      <c r="J85">
        <v>55</v>
      </c>
      <c r="K85">
        <v>252</v>
      </c>
      <c r="L85">
        <v>135</v>
      </c>
      <c r="M85" t="s">
        <v>2095</v>
      </c>
    </row>
    <row r="86" spans="1:13">
      <c r="A86" s="4">
        <v>46203</v>
      </c>
      <c r="B86" t="s">
        <v>36</v>
      </c>
      <c r="C86" t="s">
        <v>2180</v>
      </c>
      <c r="D86" t="s">
        <v>396</v>
      </c>
      <c r="E86" t="s">
        <v>399</v>
      </c>
      <c r="F86">
        <v>466</v>
      </c>
      <c r="G86" s="9">
        <v>557</v>
      </c>
      <c r="H86" s="9">
        <v>259562</v>
      </c>
      <c r="I86" s="9">
        <v>21630.17</v>
      </c>
      <c r="J86">
        <v>12</v>
      </c>
      <c r="K86">
        <v>168</v>
      </c>
      <c r="L86">
        <v>114</v>
      </c>
      <c r="M86" t="s">
        <v>1091</v>
      </c>
    </row>
    <row r="87" spans="1:13">
      <c r="A87" s="4">
        <v>46203</v>
      </c>
      <c r="B87" t="s">
        <v>36</v>
      </c>
      <c r="C87" t="s">
        <v>2181</v>
      </c>
      <c r="D87" t="s">
        <v>396</v>
      </c>
      <c r="E87" t="s">
        <v>402</v>
      </c>
      <c r="F87">
        <v>382</v>
      </c>
      <c r="G87" s="9">
        <v>486</v>
      </c>
      <c r="H87" s="9">
        <v>185652</v>
      </c>
      <c r="I87" s="9">
        <v>3502.87</v>
      </c>
      <c r="J87">
        <v>53</v>
      </c>
      <c r="K87">
        <v>140</v>
      </c>
      <c r="L87">
        <v>95</v>
      </c>
      <c r="M87" t="s">
        <v>2095</v>
      </c>
    </row>
    <row r="88" spans="1:13">
      <c r="A88" s="4">
        <v>46203</v>
      </c>
      <c r="B88" t="s">
        <v>36</v>
      </c>
      <c r="C88" t="s">
        <v>2182</v>
      </c>
      <c r="D88" t="s">
        <v>396</v>
      </c>
      <c r="E88" t="s">
        <v>399</v>
      </c>
      <c r="F88">
        <v>488</v>
      </c>
      <c r="G88" s="9">
        <v>3287</v>
      </c>
      <c r="H88" s="9">
        <v>1604056</v>
      </c>
      <c r="I88" s="9">
        <v>28643.86</v>
      </c>
      <c r="J88">
        <v>56</v>
      </c>
      <c r="K88">
        <v>202</v>
      </c>
      <c r="L88">
        <v>106</v>
      </c>
      <c r="M88" t="s">
        <v>2095</v>
      </c>
    </row>
    <row r="89" spans="1:13">
      <c r="A89" s="4">
        <v>46203</v>
      </c>
      <c r="B89" t="s">
        <v>36</v>
      </c>
      <c r="C89" t="s">
        <v>2183</v>
      </c>
      <c r="D89" t="s">
        <v>396</v>
      </c>
      <c r="E89" t="s">
        <v>404</v>
      </c>
      <c r="F89">
        <v>287</v>
      </c>
      <c r="G89" s="9">
        <v>791</v>
      </c>
      <c r="H89" s="9">
        <v>227017</v>
      </c>
      <c r="I89" s="9">
        <v>4127.58</v>
      </c>
      <c r="J89">
        <v>55</v>
      </c>
      <c r="K89">
        <v>161</v>
      </c>
      <c r="L89">
        <v>96</v>
      </c>
      <c r="M89" t="s">
        <v>2095</v>
      </c>
    </row>
    <row r="90" spans="1:13">
      <c r="A90" s="4">
        <v>46203</v>
      </c>
      <c r="B90" t="s">
        <v>36</v>
      </c>
      <c r="C90" t="s">
        <v>2184</v>
      </c>
      <c r="D90" t="s">
        <v>396</v>
      </c>
      <c r="E90" t="s">
        <v>397</v>
      </c>
      <c r="F90">
        <v>343</v>
      </c>
      <c r="G90" s="9">
        <v>3450</v>
      </c>
      <c r="H90" s="9">
        <v>1183350</v>
      </c>
      <c r="I90" s="9">
        <v>22756.73</v>
      </c>
      <c r="J90">
        <v>52</v>
      </c>
      <c r="K90">
        <v>277</v>
      </c>
      <c r="L90">
        <v>177</v>
      </c>
      <c r="M90" t="s">
        <v>2095</v>
      </c>
    </row>
    <row r="91" spans="1:13">
      <c r="A91" s="4">
        <v>46203</v>
      </c>
      <c r="B91" t="s">
        <v>36</v>
      </c>
      <c r="C91" t="s">
        <v>2185</v>
      </c>
      <c r="D91" t="s">
        <v>396</v>
      </c>
      <c r="E91" t="s">
        <v>399</v>
      </c>
      <c r="F91">
        <v>303</v>
      </c>
      <c r="G91" s="9">
        <v>1112</v>
      </c>
      <c r="H91" s="9">
        <v>336936</v>
      </c>
      <c r="I91" s="9">
        <v>5809.24</v>
      </c>
      <c r="J91">
        <v>58</v>
      </c>
      <c r="K91">
        <v>124</v>
      </c>
      <c r="L91">
        <v>67</v>
      </c>
      <c r="M91" t="s">
        <v>2095</v>
      </c>
    </row>
    <row r="92" spans="1:13">
      <c r="A92" s="4">
        <v>46295</v>
      </c>
      <c r="B92" t="s">
        <v>541</v>
      </c>
      <c r="C92" t="s">
        <v>2186</v>
      </c>
      <c r="D92" t="s">
        <v>37</v>
      </c>
      <c r="E92" t="s">
        <v>55</v>
      </c>
      <c r="F92">
        <v>67</v>
      </c>
      <c r="G92" s="9">
        <v>5346</v>
      </c>
      <c r="H92" s="9">
        <v>358182</v>
      </c>
      <c r="I92" s="9">
        <v>6758.15</v>
      </c>
      <c r="J92">
        <v>53</v>
      </c>
      <c r="K92">
        <v>53</v>
      </c>
      <c r="L92">
        <v>31</v>
      </c>
      <c r="M92" t="s">
        <v>1091</v>
      </c>
    </row>
    <row r="93" spans="1:13">
      <c r="A93" s="4">
        <v>46295</v>
      </c>
      <c r="B93" t="s">
        <v>541</v>
      </c>
      <c r="C93" t="s">
        <v>2187</v>
      </c>
      <c r="D93" t="s">
        <v>37</v>
      </c>
      <c r="E93" t="s">
        <v>59</v>
      </c>
      <c r="F93">
        <v>73</v>
      </c>
      <c r="G93" s="9">
        <v>5689</v>
      </c>
      <c r="H93" s="9">
        <v>415297</v>
      </c>
      <c r="I93" s="9">
        <v>4194.92</v>
      </c>
      <c r="J93">
        <v>99</v>
      </c>
      <c r="K93">
        <v>47</v>
      </c>
      <c r="L93">
        <v>30</v>
      </c>
      <c r="M93" t="s">
        <v>2095</v>
      </c>
    </row>
    <row r="94" spans="1:13">
      <c r="A94" s="4">
        <v>46295</v>
      </c>
      <c r="B94" t="s">
        <v>541</v>
      </c>
      <c r="C94" t="s">
        <v>2188</v>
      </c>
      <c r="D94" t="s">
        <v>37</v>
      </c>
      <c r="E94" t="s">
        <v>55</v>
      </c>
      <c r="F94">
        <v>441</v>
      </c>
      <c r="G94" s="9">
        <v>5642</v>
      </c>
      <c r="H94" s="9">
        <v>2488122</v>
      </c>
      <c r="I94" s="9">
        <v>28931.65</v>
      </c>
      <c r="J94">
        <v>86</v>
      </c>
      <c r="K94">
        <v>238</v>
      </c>
      <c r="L94">
        <v>112</v>
      </c>
      <c r="M94" t="s">
        <v>2095</v>
      </c>
    </row>
    <row r="95" spans="1:13">
      <c r="A95" s="4">
        <v>46295</v>
      </c>
      <c r="B95" t="s">
        <v>541</v>
      </c>
      <c r="C95" t="s">
        <v>2189</v>
      </c>
      <c r="D95" t="s">
        <v>37</v>
      </c>
      <c r="E95" t="s">
        <v>38</v>
      </c>
      <c r="F95">
        <v>113</v>
      </c>
      <c r="G95" s="9">
        <v>2777</v>
      </c>
      <c r="H95" s="9">
        <v>313801</v>
      </c>
      <c r="I95" s="9">
        <v>3448.36</v>
      </c>
      <c r="J95">
        <v>91</v>
      </c>
      <c r="K95">
        <v>59</v>
      </c>
      <c r="L95">
        <v>39</v>
      </c>
      <c r="M95" t="s">
        <v>2095</v>
      </c>
    </row>
    <row r="96" spans="1:13">
      <c r="A96" s="4">
        <v>46295</v>
      </c>
      <c r="B96" t="s">
        <v>541</v>
      </c>
      <c r="C96" t="s">
        <v>2190</v>
      </c>
      <c r="D96" t="s">
        <v>37</v>
      </c>
      <c r="E96" t="s">
        <v>55</v>
      </c>
      <c r="F96">
        <v>335</v>
      </c>
      <c r="G96" s="9">
        <v>7052</v>
      </c>
      <c r="H96" s="9">
        <v>2362420</v>
      </c>
      <c r="I96" s="9">
        <v>27793.18</v>
      </c>
      <c r="J96">
        <v>85</v>
      </c>
      <c r="K96">
        <v>278</v>
      </c>
      <c r="L96">
        <v>174</v>
      </c>
      <c r="M96" t="s">
        <v>2095</v>
      </c>
    </row>
    <row r="97" spans="1:13">
      <c r="A97" s="4">
        <v>46295</v>
      </c>
      <c r="B97" t="s">
        <v>541</v>
      </c>
      <c r="C97" t="s">
        <v>2191</v>
      </c>
      <c r="D97" t="s">
        <v>37</v>
      </c>
      <c r="E97" t="s">
        <v>45</v>
      </c>
      <c r="F97">
        <v>391</v>
      </c>
      <c r="G97" s="9">
        <v>8002</v>
      </c>
      <c r="H97" s="9">
        <v>3128782</v>
      </c>
      <c r="I97" s="9">
        <v>39109.78</v>
      </c>
      <c r="J97">
        <v>80</v>
      </c>
      <c r="K97">
        <v>317</v>
      </c>
      <c r="L97">
        <v>203</v>
      </c>
      <c r="M97" t="s">
        <v>2095</v>
      </c>
    </row>
    <row r="98" spans="1:13">
      <c r="A98" s="4">
        <v>46295</v>
      </c>
      <c r="B98" t="s">
        <v>541</v>
      </c>
      <c r="C98" t="s">
        <v>2192</v>
      </c>
      <c r="D98" t="s">
        <v>37</v>
      </c>
      <c r="E98" t="s">
        <v>38</v>
      </c>
      <c r="F98">
        <v>449</v>
      </c>
      <c r="G98" s="9">
        <v>4797</v>
      </c>
      <c r="H98" s="9">
        <v>2153853</v>
      </c>
      <c r="I98" s="9">
        <v>21116.21</v>
      </c>
      <c r="J98">
        <v>102</v>
      </c>
      <c r="K98">
        <v>229</v>
      </c>
      <c r="L98">
        <v>146</v>
      </c>
      <c r="M98" t="s">
        <v>2095</v>
      </c>
    </row>
    <row r="99" spans="1:13">
      <c r="A99" s="4">
        <v>46295</v>
      </c>
      <c r="B99" t="s">
        <v>541</v>
      </c>
      <c r="C99" t="s">
        <v>2193</v>
      </c>
      <c r="D99" t="s">
        <v>37</v>
      </c>
      <c r="E99" t="s">
        <v>38</v>
      </c>
      <c r="F99">
        <v>124</v>
      </c>
      <c r="G99" s="9">
        <v>3218</v>
      </c>
      <c r="H99" s="9">
        <v>399032</v>
      </c>
      <c r="I99" s="9">
        <v>4750.38</v>
      </c>
      <c r="J99">
        <v>84</v>
      </c>
      <c r="K99">
        <v>104</v>
      </c>
      <c r="L99">
        <v>50</v>
      </c>
      <c r="M99" t="s">
        <v>2095</v>
      </c>
    </row>
    <row r="100" spans="1:13">
      <c r="A100" s="4">
        <v>46295</v>
      </c>
      <c r="B100" t="s">
        <v>541</v>
      </c>
      <c r="C100" t="s">
        <v>2194</v>
      </c>
      <c r="D100" t="s">
        <v>37</v>
      </c>
      <c r="E100" t="s">
        <v>45</v>
      </c>
      <c r="F100">
        <v>414</v>
      </c>
      <c r="G100" s="9">
        <v>5664</v>
      </c>
      <c r="H100" s="9">
        <v>2344896</v>
      </c>
      <c r="I100" s="9">
        <v>23448.959999999999</v>
      </c>
      <c r="J100">
        <v>100</v>
      </c>
      <c r="K100">
        <v>166</v>
      </c>
      <c r="L100">
        <v>99</v>
      </c>
      <c r="M100" t="s">
        <v>2095</v>
      </c>
    </row>
    <row r="101" spans="1:13">
      <c r="A101" s="4">
        <v>46295</v>
      </c>
      <c r="B101" t="s">
        <v>541</v>
      </c>
      <c r="C101" t="s">
        <v>2195</v>
      </c>
      <c r="D101" t="s">
        <v>37</v>
      </c>
      <c r="E101" t="s">
        <v>38</v>
      </c>
      <c r="F101">
        <v>128</v>
      </c>
      <c r="G101" s="9">
        <v>4335</v>
      </c>
      <c r="H101" s="9">
        <v>554880</v>
      </c>
      <c r="I101" s="9">
        <v>6605.71</v>
      </c>
      <c r="J101">
        <v>84</v>
      </c>
      <c r="K101">
        <v>99</v>
      </c>
      <c r="L101">
        <v>58</v>
      </c>
      <c r="M101" t="s">
        <v>2095</v>
      </c>
    </row>
    <row r="102" spans="1:13">
      <c r="A102" s="4">
        <v>46295</v>
      </c>
      <c r="B102" t="s">
        <v>541</v>
      </c>
      <c r="C102" t="s">
        <v>2196</v>
      </c>
      <c r="D102" t="s">
        <v>37</v>
      </c>
      <c r="E102" t="s">
        <v>45</v>
      </c>
      <c r="F102">
        <v>141</v>
      </c>
      <c r="G102" s="9">
        <v>7514</v>
      </c>
      <c r="H102" s="9">
        <v>1059474</v>
      </c>
      <c r="I102" s="9">
        <v>11036.19</v>
      </c>
      <c r="J102">
        <v>96</v>
      </c>
      <c r="K102">
        <v>53</v>
      </c>
      <c r="L102">
        <v>26</v>
      </c>
      <c r="M102" t="s">
        <v>2095</v>
      </c>
    </row>
    <row r="103" spans="1:13">
      <c r="A103" s="4">
        <v>46295</v>
      </c>
      <c r="B103" t="s">
        <v>541</v>
      </c>
      <c r="C103" t="s">
        <v>2197</v>
      </c>
      <c r="D103" t="s">
        <v>37</v>
      </c>
      <c r="E103" t="s">
        <v>55</v>
      </c>
      <c r="F103">
        <v>158</v>
      </c>
      <c r="G103" s="9">
        <v>4544</v>
      </c>
      <c r="H103" s="9">
        <v>717952</v>
      </c>
      <c r="I103" s="9">
        <v>7326.04</v>
      </c>
      <c r="J103">
        <v>98</v>
      </c>
      <c r="K103">
        <v>126</v>
      </c>
      <c r="L103">
        <v>64</v>
      </c>
      <c r="M103" t="s">
        <v>2095</v>
      </c>
    </row>
    <row r="104" spans="1:13">
      <c r="A104" s="4">
        <v>46295</v>
      </c>
      <c r="B104" t="s">
        <v>541</v>
      </c>
      <c r="C104" t="s">
        <v>2198</v>
      </c>
      <c r="D104" t="s">
        <v>37</v>
      </c>
      <c r="E104" t="s">
        <v>59</v>
      </c>
      <c r="F104">
        <v>492</v>
      </c>
      <c r="G104" s="9">
        <v>8043</v>
      </c>
      <c r="H104" s="9">
        <v>3957156</v>
      </c>
      <c r="I104" s="9">
        <v>41654.269999999997</v>
      </c>
      <c r="J104">
        <v>95</v>
      </c>
      <c r="K104">
        <v>382</v>
      </c>
      <c r="L104">
        <v>182</v>
      </c>
      <c r="M104" t="s">
        <v>2095</v>
      </c>
    </row>
    <row r="105" spans="1:13">
      <c r="A105" s="4">
        <v>46295</v>
      </c>
      <c r="B105" t="s">
        <v>541</v>
      </c>
      <c r="C105" t="s">
        <v>2199</v>
      </c>
      <c r="D105" t="s">
        <v>37</v>
      </c>
      <c r="E105" t="s">
        <v>59</v>
      </c>
      <c r="F105">
        <v>189</v>
      </c>
      <c r="G105" s="9">
        <v>4750</v>
      </c>
      <c r="H105" s="9">
        <v>897750</v>
      </c>
      <c r="I105" s="9">
        <v>10318.969999999999</v>
      </c>
      <c r="J105">
        <v>87</v>
      </c>
      <c r="K105">
        <v>92</v>
      </c>
      <c r="L105">
        <v>60</v>
      </c>
      <c r="M105" t="s">
        <v>2095</v>
      </c>
    </row>
    <row r="106" spans="1:13">
      <c r="A106" s="4">
        <v>46295</v>
      </c>
      <c r="B106" t="s">
        <v>541</v>
      </c>
      <c r="C106" t="s">
        <v>2200</v>
      </c>
      <c r="D106" t="s">
        <v>37</v>
      </c>
      <c r="E106" t="s">
        <v>59</v>
      </c>
      <c r="F106">
        <v>298</v>
      </c>
      <c r="G106" s="9">
        <v>6980</v>
      </c>
      <c r="H106" s="9">
        <v>2080040</v>
      </c>
      <c r="I106" s="9">
        <v>20194.560000000001</v>
      </c>
      <c r="J106">
        <v>103</v>
      </c>
      <c r="K106">
        <v>231</v>
      </c>
      <c r="L106">
        <v>158</v>
      </c>
      <c r="M106" t="s">
        <v>2095</v>
      </c>
    </row>
    <row r="107" spans="1:13">
      <c r="A107" s="4">
        <v>46295</v>
      </c>
      <c r="B107" t="s">
        <v>541</v>
      </c>
      <c r="C107" t="s">
        <v>2201</v>
      </c>
      <c r="D107" t="s">
        <v>37</v>
      </c>
      <c r="E107" t="s">
        <v>38</v>
      </c>
      <c r="F107">
        <v>384</v>
      </c>
      <c r="G107" s="9">
        <v>6101</v>
      </c>
      <c r="H107" s="9">
        <v>2342784</v>
      </c>
      <c r="I107" s="9">
        <v>27562.16</v>
      </c>
      <c r="J107">
        <v>85</v>
      </c>
      <c r="K107">
        <v>137</v>
      </c>
      <c r="L107">
        <v>84</v>
      </c>
      <c r="M107" t="s">
        <v>2095</v>
      </c>
    </row>
    <row r="108" spans="1:13">
      <c r="A108" s="4">
        <v>46295</v>
      </c>
      <c r="B108" t="s">
        <v>541</v>
      </c>
      <c r="C108" t="s">
        <v>2202</v>
      </c>
      <c r="D108" t="s">
        <v>37</v>
      </c>
      <c r="E108" t="s">
        <v>45</v>
      </c>
      <c r="F108">
        <v>446</v>
      </c>
      <c r="G108" s="9">
        <v>4656</v>
      </c>
      <c r="H108" s="9">
        <v>2076576</v>
      </c>
      <c r="I108" s="9">
        <v>20975.52</v>
      </c>
      <c r="J108">
        <v>99</v>
      </c>
      <c r="K108">
        <v>303</v>
      </c>
      <c r="L108">
        <v>174</v>
      </c>
      <c r="M108" t="s">
        <v>2095</v>
      </c>
    </row>
    <row r="109" spans="1:13">
      <c r="A109" s="4">
        <v>46295</v>
      </c>
      <c r="B109" t="s">
        <v>541</v>
      </c>
      <c r="C109" t="s">
        <v>2203</v>
      </c>
      <c r="D109" t="s">
        <v>37</v>
      </c>
      <c r="E109" t="s">
        <v>45</v>
      </c>
      <c r="F109">
        <v>389</v>
      </c>
      <c r="G109" s="9">
        <v>4771</v>
      </c>
      <c r="H109" s="9">
        <v>1855919</v>
      </c>
      <c r="I109" s="9">
        <v>20394.71</v>
      </c>
      <c r="J109">
        <v>91</v>
      </c>
      <c r="K109">
        <v>297</v>
      </c>
      <c r="L109">
        <v>168</v>
      </c>
      <c r="M109" t="s">
        <v>2095</v>
      </c>
    </row>
    <row r="110" spans="1:13">
      <c r="A110" s="4">
        <v>46295</v>
      </c>
      <c r="B110" t="s">
        <v>541</v>
      </c>
      <c r="C110" t="s">
        <v>2204</v>
      </c>
      <c r="D110" t="s">
        <v>37</v>
      </c>
      <c r="E110" t="s">
        <v>45</v>
      </c>
      <c r="F110">
        <v>247</v>
      </c>
      <c r="G110" s="9">
        <v>2018</v>
      </c>
      <c r="H110" s="9">
        <v>498446</v>
      </c>
      <c r="I110" s="9">
        <v>5417.89</v>
      </c>
      <c r="J110">
        <v>92</v>
      </c>
      <c r="K110">
        <v>120</v>
      </c>
      <c r="L110">
        <v>68</v>
      </c>
      <c r="M110" t="s">
        <v>2095</v>
      </c>
    </row>
    <row r="111" spans="1:13">
      <c r="A111" s="4">
        <v>46295</v>
      </c>
      <c r="B111" t="s">
        <v>541</v>
      </c>
      <c r="C111" t="s">
        <v>2205</v>
      </c>
      <c r="D111" t="s">
        <v>37</v>
      </c>
      <c r="E111" t="s">
        <v>59</v>
      </c>
      <c r="F111">
        <v>213</v>
      </c>
      <c r="G111" s="9">
        <v>3559</v>
      </c>
      <c r="H111" s="9">
        <v>758067</v>
      </c>
      <c r="I111" s="9">
        <v>7505.61</v>
      </c>
      <c r="J111">
        <v>101</v>
      </c>
      <c r="K111">
        <v>159</v>
      </c>
      <c r="L111">
        <v>108</v>
      </c>
      <c r="M111" t="s">
        <v>2095</v>
      </c>
    </row>
    <row r="112" spans="1:13">
      <c r="A112" s="4">
        <v>46295</v>
      </c>
      <c r="B112" t="s">
        <v>541</v>
      </c>
      <c r="C112" t="s">
        <v>2206</v>
      </c>
      <c r="D112" t="s">
        <v>37</v>
      </c>
      <c r="E112" t="s">
        <v>45</v>
      </c>
      <c r="F112">
        <v>238</v>
      </c>
      <c r="G112" s="9">
        <v>2208</v>
      </c>
      <c r="H112" s="9">
        <v>525504</v>
      </c>
      <c r="I112" s="9">
        <v>6040.28</v>
      </c>
      <c r="J112">
        <v>87</v>
      </c>
      <c r="K112">
        <v>115</v>
      </c>
      <c r="L112">
        <v>53</v>
      </c>
      <c r="M112" t="s">
        <v>2095</v>
      </c>
    </row>
    <row r="113" spans="1:13">
      <c r="A113" s="4">
        <v>46295</v>
      </c>
      <c r="B113" t="s">
        <v>541</v>
      </c>
      <c r="C113" t="s">
        <v>2207</v>
      </c>
      <c r="D113" t="s">
        <v>37</v>
      </c>
      <c r="E113" t="s">
        <v>55</v>
      </c>
      <c r="F113">
        <v>218</v>
      </c>
      <c r="G113" s="9">
        <v>5008</v>
      </c>
      <c r="H113" s="9">
        <v>1091744</v>
      </c>
      <c r="I113" s="9">
        <v>12844.05</v>
      </c>
      <c r="J113">
        <v>85</v>
      </c>
      <c r="K113">
        <v>138</v>
      </c>
      <c r="L113">
        <v>85</v>
      </c>
      <c r="M113" t="s">
        <v>2095</v>
      </c>
    </row>
    <row r="114" spans="1:13">
      <c r="A114" s="4">
        <v>46295</v>
      </c>
      <c r="B114" t="s">
        <v>541</v>
      </c>
      <c r="C114" t="s">
        <v>2208</v>
      </c>
      <c r="D114" t="s">
        <v>37</v>
      </c>
      <c r="E114" t="s">
        <v>38</v>
      </c>
      <c r="F114">
        <v>353</v>
      </c>
      <c r="G114" s="9">
        <v>3232</v>
      </c>
      <c r="H114" s="9">
        <v>1140896</v>
      </c>
      <c r="I114" s="9">
        <v>11076.66</v>
      </c>
      <c r="J114">
        <v>103</v>
      </c>
      <c r="K114">
        <v>203</v>
      </c>
      <c r="L114">
        <v>116</v>
      </c>
      <c r="M114" t="s">
        <v>2095</v>
      </c>
    </row>
    <row r="115" spans="1:13">
      <c r="A115" s="4">
        <v>46295</v>
      </c>
      <c r="B115" t="s">
        <v>541</v>
      </c>
      <c r="C115" t="s">
        <v>2209</v>
      </c>
      <c r="D115" t="s">
        <v>37</v>
      </c>
      <c r="E115" t="s">
        <v>38</v>
      </c>
      <c r="F115">
        <v>80</v>
      </c>
      <c r="G115" s="9">
        <v>5408</v>
      </c>
      <c r="H115" s="9">
        <v>432640</v>
      </c>
      <c r="I115" s="9">
        <v>5150.4799999999996</v>
      </c>
      <c r="J115">
        <v>84</v>
      </c>
      <c r="K115">
        <v>28</v>
      </c>
      <c r="L115">
        <v>13</v>
      </c>
      <c r="M115" t="s">
        <v>2095</v>
      </c>
    </row>
    <row r="116" spans="1:13">
      <c r="A116" s="4">
        <v>46295</v>
      </c>
      <c r="B116" t="s">
        <v>541</v>
      </c>
      <c r="C116" t="s">
        <v>2210</v>
      </c>
      <c r="D116" t="s">
        <v>37</v>
      </c>
      <c r="E116" t="s">
        <v>38</v>
      </c>
      <c r="F116">
        <v>391</v>
      </c>
      <c r="G116" s="9">
        <v>1622</v>
      </c>
      <c r="H116" s="9">
        <v>634202</v>
      </c>
      <c r="I116" s="9">
        <v>6157.3</v>
      </c>
      <c r="J116">
        <v>103</v>
      </c>
      <c r="K116">
        <v>306</v>
      </c>
      <c r="L116">
        <v>175</v>
      </c>
      <c r="M116" t="s">
        <v>2095</v>
      </c>
    </row>
    <row r="117" spans="1:13">
      <c r="A117" s="4">
        <v>46295</v>
      </c>
      <c r="B117" t="s">
        <v>541</v>
      </c>
      <c r="C117" t="s">
        <v>2211</v>
      </c>
      <c r="D117" t="s">
        <v>37</v>
      </c>
      <c r="E117" t="s">
        <v>38</v>
      </c>
      <c r="F117">
        <v>423</v>
      </c>
      <c r="G117" s="9">
        <v>6920</v>
      </c>
      <c r="H117" s="9">
        <v>2927160</v>
      </c>
      <c r="I117" s="9">
        <v>29271.599999999999</v>
      </c>
      <c r="J117">
        <v>100</v>
      </c>
      <c r="K117">
        <v>213</v>
      </c>
      <c r="L117">
        <v>145</v>
      </c>
      <c r="M117" t="s">
        <v>2095</v>
      </c>
    </row>
    <row r="118" spans="1:13">
      <c r="A118" s="4">
        <v>46295</v>
      </c>
      <c r="B118" t="s">
        <v>541</v>
      </c>
      <c r="C118" t="s">
        <v>2212</v>
      </c>
      <c r="D118" t="s">
        <v>37</v>
      </c>
      <c r="E118" t="s">
        <v>55</v>
      </c>
      <c r="F118">
        <v>434</v>
      </c>
      <c r="G118" s="9">
        <v>7369</v>
      </c>
      <c r="H118" s="9">
        <v>3198146</v>
      </c>
      <c r="I118" s="9">
        <v>31664.81</v>
      </c>
      <c r="J118">
        <v>101</v>
      </c>
      <c r="K118">
        <v>239</v>
      </c>
      <c r="L118">
        <v>139</v>
      </c>
      <c r="M118" t="s">
        <v>2095</v>
      </c>
    </row>
    <row r="119" spans="1:13">
      <c r="A119" s="4">
        <v>46295</v>
      </c>
      <c r="B119" t="s">
        <v>541</v>
      </c>
      <c r="C119" t="s">
        <v>2213</v>
      </c>
      <c r="D119" t="s">
        <v>37</v>
      </c>
      <c r="E119" t="s">
        <v>55</v>
      </c>
      <c r="F119">
        <v>257</v>
      </c>
      <c r="G119" s="9">
        <v>1797</v>
      </c>
      <c r="H119" s="9">
        <v>461829</v>
      </c>
      <c r="I119" s="9">
        <v>5075.04</v>
      </c>
      <c r="J119">
        <v>91</v>
      </c>
      <c r="K119">
        <v>150</v>
      </c>
      <c r="L119">
        <v>70</v>
      </c>
      <c r="M119" t="s">
        <v>2095</v>
      </c>
    </row>
    <row r="120" spans="1:13">
      <c r="A120" s="4">
        <v>46295</v>
      </c>
      <c r="B120" t="s">
        <v>541</v>
      </c>
      <c r="C120" t="s">
        <v>2214</v>
      </c>
      <c r="D120" t="s">
        <v>37</v>
      </c>
      <c r="E120" t="s">
        <v>38</v>
      </c>
      <c r="F120">
        <v>301</v>
      </c>
      <c r="G120" s="9">
        <v>8817</v>
      </c>
      <c r="H120" s="9">
        <v>2653917</v>
      </c>
      <c r="I120" s="9">
        <v>29163.919999999998</v>
      </c>
      <c r="J120">
        <v>91</v>
      </c>
      <c r="K120">
        <v>117</v>
      </c>
      <c r="L120">
        <v>70</v>
      </c>
      <c r="M120" t="s">
        <v>2095</v>
      </c>
    </row>
    <row r="121" spans="1:13">
      <c r="A121" s="4">
        <v>46295</v>
      </c>
      <c r="B121" t="s">
        <v>541</v>
      </c>
      <c r="C121" t="s">
        <v>2215</v>
      </c>
      <c r="D121" t="s">
        <v>37</v>
      </c>
      <c r="E121" t="s">
        <v>45</v>
      </c>
      <c r="F121">
        <v>117</v>
      </c>
      <c r="G121" s="9">
        <v>5086</v>
      </c>
      <c r="H121" s="9">
        <v>595062</v>
      </c>
      <c r="I121" s="9">
        <v>5721.75</v>
      </c>
      <c r="J121">
        <v>104</v>
      </c>
      <c r="K121">
        <v>80</v>
      </c>
      <c r="L121">
        <v>36</v>
      </c>
      <c r="M121" t="s">
        <v>2095</v>
      </c>
    </row>
    <row r="122" spans="1:13">
      <c r="A122" s="4">
        <v>46295</v>
      </c>
      <c r="B122" t="s">
        <v>541</v>
      </c>
      <c r="C122" t="s">
        <v>2216</v>
      </c>
      <c r="D122" t="s">
        <v>231</v>
      </c>
      <c r="E122" t="s">
        <v>243</v>
      </c>
      <c r="F122">
        <v>414</v>
      </c>
      <c r="G122" s="9">
        <v>402</v>
      </c>
      <c r="H122" s="9">
        <v>166428</v>
      </c>
      <c r="I122" s="9">
        <v>3263.29</v>
      </c>
      <c r="J122">
        <v>51</v>
      </c>
      <c r="K122">
        <v>232</v>
      </c>
      <c r="L122">
        <v>136</v>
      </c>
      <c r="M122" t="s">
        <v>2095</v>
      </c>
    </row>
    <row r="123" spans="1:13">
      <c r="A123" s="4">
        <v>46295</v>
      </c>
      <c r="B123" t="s">
        <v>541</v>
      </c>
      <c r="C123" t="s">
        <v>2217</v>
      </c>
      <c r="D123" t="s">
        <v>231</v>
      </c>
      <c r="E123" t="s">
        <v>234</v>
      </c>
      <c r="F123">
        <v>206</v>
      </c>
      <c r="G123" s="9">
        <v>1515</v>
      </c>
      <c r="H123" s="9">
        <v>312090</v>
      </c>
      <c r="I123" s="9">
        <v>4523.04</v>
      </c>
      <c r="J123">
        <v>69</v>
      </c>
      <c r="K123">
        <v>150</v>
      </c>
      <c r="L123">
        <v>86</v>
      </c>
      <c r="M123" t="s">
        <v>2095</v>
      </c>
    </row>
    <row r="124" spans="1:13">
      <c r="A124" s="4">
        <v>46295</v>
      </c>
      <c r="B124" t="s">
        <v>541</v>
      </c>
      <c r="C124" t="s">
        <v>2218</v>
      </c>
      <c r="D124" t="s">
        <v>231</v>
      </c>
      <c r="E124" t="s">
        <v>239</v>
      </c>
      <c r="F124">
        <v>343</v>
      </c>
      <c r="G124" s="9">
        <v>1614</v>
      </c>
      <c r="H124" s="9">
        <v>553602</v>
      </c>
      <c r="I124" s="9">
        <v>8023.22</v>
      </c>
      <c r="J124">
        <v>69</v>
      </c>
      <c r="K124">
        <v>278</v>
      </c>
      <c r="L124">
        <v>186</v>
      </c>
      <c r="M124" t="s">
        <v>2095</v>
      </c>
    </row>
    <row r="125" spans="1:13">
      <c r="A125" s="4">
        <v>46295</v>
      </c>
      <c r="B125" t="s">
        <v>541</v>
      </c>
      <c r="C125" t="s">
        <v>2219</v>
      </c>
      <c r="D125" t="s">
        <v>231</v>
      </c>
      <c r="E125" t="s">
        <v>239</v>
      </c>
      <c r="F125">
        <v>264</v>
      </c>
      <c r="G125" s="9">
        <v>812</v>
      </c>
      <c r="H125" s="9">
        <v>214368</v>
      </c>
      <c r="I125" s="9">
        <v>3457.55</v>
      </c>
      <c r="J125">
        <v>62</v>
      </c>
      <c r="K125">
        <v>209</v>
      </c>
      <c r="L125">
        <v>116</v>
      </c>
      <c r="M125" t="s">
        <v>2095</v>
      </c>
    </row>
    <row r="126" spans="1:13">
      <c r="A126" s="4">
        <v>46295</v>
      </c>
      <c r="B126" t="s">
        <v>541</v>
      </c>
      <c r="C126" t="s">
        <v>2220</v>
      </c>
      <c r="D126" t="s">
        <v>231</v>
      </c>
      <c r="E126" t="s">
        <v>234</v>
      </c>
      <c r="F126">
        <v>181</v>
      </c>
      <c r="G126" s="9">
        <v>1077</v>
      </c>
      <c r="H126" s="9">
        <v>194937</v>
      </c>
      <c r="I126" s="9">
        <v>2909.51</v>
      </c>
      <c r="J126">
        <v>67</v>
      </c>
      <c r="K126">
        <v>65</v>
      </c>
      <c r="L126">
        <v>33</v>
      </c>
      <c r="M126" t="s">
        <v>2095</v>
      </c>
    </row>
    <row r="127" spans="1:13">
      <c r="A127" s="4">
        <v>46295</v>
      </c>
      <c r="B127" t="s">
        <v>541</v>
      </c>
      <c r="C127" t="s">
        <v>2221</v>
      </c>
      <c r="D127" t="s">
        <v>231</v>
      </c>
      <c r="E127" t="s">
        <v>234</v>
      </c>
      <c r="F127">
        <v>407</v>
      </c>
      <c r="G127" s="9">
        <v>1363</v>
      </c>
      <c r="H127" s="9">
        <v>554741</v>
      </c>
      <c r="I127" s="9">
        <v>7924.87</v>
      </c>
      <c r="J127">
        <v>70</v>
      </c>
      <c r="K127">
        <v>150</v>
      </c>
      <c r="L127">
        <v>95</v>
      </c>
      <c r="M127" t="s">
        <v>2095</v>
      </c>
    </row>
    <row r="128" spans="1:13">
      <c r="A128" s="4">
        <v>46295</v>
      </c>
      <c r="B128" t="s">
        <v>541</v>
      </c>
      <c r="C128" t="s">
        <v>2222</v>
      </c>
      <c r="D128" t="s">
        <v>231</v>
      </c>
      <c r="E128" t="s">
        <v>239</v>
      </c>
      <c r="F128">
        <v>339</v>
      </c>
      <c r="G128" s="9">
        <v>1662</v>
      </c>
      <c r="H128" s="9">
        <v>563418</v>
      </c>
      <c r="I128" s="9">
        <v>8667.9699999999993</v>
      </c>
      <c r="J128">
        <v>65</v>
      </c>
      <c r="K128">
        <v>281</v>
      </c>
      <c r="L128">
        <v>157</v>
      </c>
      <c r="M128" t="s">
        <v>2095</v>
      </c>
    </row>
    <row r="129" spans="1:13">
      <c r="A129" s="4">
        <v>46295</v>
      </c>
      <c r="B129" t="s">
        <v>541</v>
      </c>
      <c r="C129" t="s">
        <v>2223</v>
      </c>
      <c r="D129" t="s">
        <v>231</v>
      </c>
      <c r="E129" t="s">
        <v>232</v>
      </c>
      <c r="F129">
        <v>375</v>
      </c>
      <c r="G129" s="9">
        <v>1731</v>
      </c>
      <c r="H129" s="9">
        <v>649125</v>
      </c>
      <c r="I129" s="9">
        <v>8892.1200000000008</v>
      </c>
      <c r="J129">
        <v>73</v>
      </c>
      <c r="K129">
        <v>157</v>
      </c>
      <c r="L129">
        <v>97</v>
      </c>
      <c r="M129" t="s">
        <v>2095</v>
      </c>
    </row>
    <row r="130" spans="1:13">
      <c r="A130" s="4">
        <v>46295</v>
      </c>
      <c r="B130" t="s">
        <v>541</v>
      </c>
      <c r="C130" t="s">
        <v>2224</v>
      </c>
      <c r="D130" t="s">
        <v>231</v>
      </c>
      <c r="E130" t="s">
        <v>239</v>
      </c>
      <c r="F130">
        <v>214</v>
      </c>
      <c r="G130" s="9">
        <v>501</v>
      </c>
      <c r="H130" s="9">
        <v>107214</v>
      </c>
      <c r="I130" s="9">
        <v>1553.83</v>
      </c>
      <c r="J130">
        <v>69</v>
      </c>
      <c r="K130">
        <v>114</v>
      </c>
      <c r="L130">
        <v>64</v>
      </c>
      <c r="M130" t="s">
        <v>2095</v>
      </c>
    </row>
    <row r="131" spans="1:13">
      <c r="A131" s="4">
        <v>46295</v>
      </c>
      <c r="B131" t="s">
        <v>541</v>
      </c>
      <c r="C131" t="s">
        <v>2225</v>
      </c>
      <c r="D131" t="s">
        <v>231</v>
      </c>
      <c r="E131" t="s">
        <v>243</v>
      </c>
      <c r="F131">
        <v>141</v>
      </c>
      <c r="G131" s="9">
        <v>1116</v>
      </c>
      <c r="H131" s="9">
        <v>157356</v>
      </c>
      <c r="I131" s="9">
        <v>2667.05</v>
      </c>
      <c r="J131">
        <v>59</v>
      </c>
      <c r="K131">
        <v>60</v>
      </c>
      <c r="L131">
        <v>29</v>
      </c>
      <c r="M131" t="s">
        <v>2095</v>
      </c>
    </row>
    <row r="132" spans="1:13">
      <c r="A132" s="4">
        <v>46295</v>
      </c>
      <c r="B132" t="s">
        <v>541</v>
      </c>
      <c r="C132" t="s">
        <v>2226</v>
      </c>
      <c r="D132" t="s">
        <v>231</v>
      </c>
      <c r="E132" t="s">
        <v>234</v>
      </c>
      <c r="F132">
        <v>395</v>
      </c>
      <c r="G132" s="9">
        <v>1273</v>
      </c>
      <c r="H132" s="9">
        <v>502835</v>
      </c>
      <c r="I132" s="9">
        <v>9142.4500000000007</v>
      </c>
      <c r="J132">
        <v>55</v>
      </c>
      <c r="K132">
        <v>184</v>
      </c>
      <c r="L132">
        <v>86</v>
      </c>
      <c r="M132" t="s">
        <v>2095</v>
      </c>
    </row>
    <row r="133" spans="1:13">
      <c r="A133" s="4">
        <v>46295</v>
      </c>
      <c r="B133" t="s">
        <v>541</v>
      </c>
      <c r="C133" t="s">
        <v>2227</v>
      </c>
      <c r="D133" t="s">
        <v>231</v>
      </c>
      <c r="E133" t="s">
        <v>234</v>
      </c>
      <c r="F133">
        <v>364</v>
      </c>
      <c r="G133" s="9">
        <v>1474</v>
      </c>
      <c r="H133" s="9">
        <v>536536</v>
      </c>
      <c r="I133" s="9">
        <v>44711.33</v>
      </c>
      <c r="J133">
        <v>12</v>
      </c>
      <c r="K133">
        <v>282</v>
      </c>
      <c r="L133">
        <v>186</v>
      </c>
      <c r="M133" t="s">
        <v>1091</v>
      </c>
    </row>
    <row r="134" spans="1:13">
      <c r="A134" s="4">
        <v>46295</v>
      </c>
      <c r="B134" t="s">
        <v>541</v>
      </c>
      <c r="C134" t="s">
        <v>2228</v>
      </c>
      <c r="D134" t="s">
        <v>231</v>
      </c>
      <c r="E134" t="s">
        <v>234</v>
      </c>
      <c r="F134">
        <v>363</v>
      </c>
      <c r="G134" s="9">
        <v>1114</v>
      </c>
      <c r="H134" s="9">
        <v>404382</v>
      </c>
      <c r="I134" s="9">
        <v>7352.4</v>
      </c>
      <c r="J134">
        <v>55</v>
      </c>
      <c r="K134">
        <v>202</v>
      </c>
      <c r="L134">
        <v>112</v>
      </c>
      <c r="M134" t="s">
        <v>2095</v>
      </c>
    </row>
    <row r="135" spans="1:13">
      <c r="A135" s="4">
        <v>46295</v>
      </c>
      <c r="B135" t="s">
        <v>541</v>
      </c>
      <c r="C135" t="s">
        <v>2229</v>
      </c>
      <c r="D135" t="s">
        <v>231</v>
      </c>
      <c r="E135" t="s">
        <v>234</v>
      </c>
      <c r="F135">
        <v>219</v>
      </c>
      <c r="G135" s="9">
        <v>936</v>
      </c>
      <c r="H135" s="9">
        <v>204984</v>
      </c>
      <c r="I135" s="9">
        <v>2887.1</v>
      </c>
      <c r="J135">
        <v>71</v>
      </c>
      <c r="K135">
        <v>158</v>
      </c>
      <c r="L135">
        <v>83</v>
      </c>
      <c r="M135" t="s">
        <v>2095</v>
      </c>
    </row>
    <row r="136" spans="1:13">
      <c r="A136" s="4">
        <v>46295</v>
      </c>
      <c r="B136" t="s">
        <v>541</v>
      </c>
      <c r="C136" t="s">
        <v>2230</v>
      </c>
      <c r="D136" t="s">
        <v>231</v>
      </c>
      <c r="E136" t="s">
        <v>232</v>
      </c>
      <c r="F136">
        <v>452</v>
      </c>
      <c r="G136" s="9">
        <v>1025</v>
      </c>
      <c r="H136" s="9">
        <v>463300</v>
      </c>
      <c r="I136" s="9">
        <v>7721.67</v>
      </c>
      <c r="J136">
        <v>60</v>
      </c>
      <c r="K136">
        <v>185</v>
      </c>
      <c r="L136">
        <v>109</v>
      </c>
      <c r="M136" t="s">
        <v>2095</v>
      </c>
    </row>
    <row r="137" spans="1:13">
      <c r="A137" s="4">
        <v>46295</v>
      </c>
      <c r="B137" t="s">
        <v>541</v>
      </c>
      <c r="C137" t="s">
        <v>2231</v>
      </c>
      <c r="D137" t="s">
        <v>231</v>
      </c>
      <c r="E137" t="s">
        <v>243</v>
      </c>
      <c r="F137">
        <v>435</v>
      </c>
      <c r="G137" s="9">
        <v>896</v>
      </c>
      <c r="H137" s="9">
        <v>389760</v>
      </c>
      <c r="I137" s="9">
        <v>7086.55</v>
      </c>
      <c r="J137">
        <v>55</v>
      </c>
      <c r="K137">
        <v>357</v>
      </c>
      <c r="L137">
        <v>183</v>
      </c>
      <c r="M137" t="s">
        <v>2095</v>
      </c>
    </row>
    <row r="138" spans="1:13">
      <c r="A138" s="4">
        <v>46295</v>
      </c>
      <c r="B138" t="s">
        <v>541</v>
      </c>
      <c r="C138" t="s">
        <v>2232</v>
      </c>
      <c r="D138" t="s">
        <v>231</v>
      </c>
      <c r="E138" t="s">
        <v>232</v>
      </c>
      <c r="F138">
        <v>195</v>
      </c>
      <c r="G138" s="9">
        <v>1577</v>
      </c>
      <c r="H138" s="9">
        <v>307515</v>
      </c>
      <c r="I138" s="9">
        <v>5301.98</v>
      </c>
      <c r="J138">
        <v>58</v>
      </c>
      <c r="K138">
        <v>153</v>
      </c>
      <c r="L138">
        <v>78</v>
      </c>
      <c r="M138" t="s">
        <v>2095</v>
      </c>
    </row>
    <row r="139" spans="1:13">
      <c r="A139" s="4">
        <v>46295</v>
      </c>
      <c r="B139" t="s">
        <v>541</v>
      </c>
      <c r="C139" t="s">
        <v>2233</v>
      </c>
      <c r="D139" t="s">
        <v>231</v>
      </c>
      <c r="E139" t="s">
        <v>243</v>
      </c>
      <c r="F139">
        <v>124</v>
      </c>
      <c r="G139" s="9">
        <v>497</v>
      </c>
      <c r="H139" s="9">
        <v>61628</v>
      </c>
      <c r="I139" s="9">
        <v>919.82</v>
      </c>
      <c r="J139">
        <v>67</v>
      </c>
      <c r="K139">
        <v>63</v>
      </c>
      <c r="L139">
        <v>34</v>
      </c>
      <c r="M139" t="s">
        <v>2095</v>
      </c>
    </row>
    <row r="140" spans="1:13">
      <c r="A140" s="4">
        <v>46295</v>
      </c>
      <c r="B140" t="s">
        <v>541</v>
      </c>
      <c r="C140" t="s">
        <v>2234</v>
      </c>
      <c r="D140" t="s">
        <v>231</v>
      </c>
      <c r="E140" t="s">
        <v>234</v>
      </c>
      <c r="F140">
        <v>420</v>
      </c>
      <c r="G140" s="9">
        <v>1578</v>
      </c>
      <c r="H140" s="9">
        <v>662760</v>
      </c>
      <c r="I140" s="9">
        <v>9746.4699999999993</v>
      </c>
      <c r="J140">
        <v>68</v>
      </c>
      <c r="K140">
        <v>318</v>
      </c>
      <c r="L140">
        <v>194</v>
      </c>
      <c r="M140" t="s">
        <v>2095</v>
      </c>
    </row>
    <row r="141" spans="1:13">
      <c r="A141" s="4">
        <v>46295</v>
      </c>
      <c r="B141" t="s">
        <v>541</v>
      </c>
      <c r="C141" t="s">
        <v>2235</v>
      </c>
      <c r="D141" t="s">
        <v>231</v>
      </c>
      <c r="E141" t="s">
        <v>243</v>
      </c>
      <c r="F141">
        <v>101</v>
      </c>
      <c r="G141" s="9">
        <v>722</v>
      </c>
      <c r="H141" s="9">
        <v>72922</v>
      </c>
      <c r="I141" s="9">
        <v>1104.8800000000001</v>
      </c>
      <c r="J141">
        <v>66</v>
      </c>
      <c r="K141">
        <v>84</v>
      </c>
      <c r="L141">
        <v>58</v>
      </c>
      <c r="M141" t="s">
        <v>2095</v>
      </c>
    </row>
    <row r="142" spans="1:13">
      <c r="A142" s="4">
        <v>46295</v>
      </c>
      <c r="B142" t="s">
        <v>541</v>
      </c>
      <c r="C142" t="s">
        <v>2236</v>
      </c>
      <c r="D142" t="s">
        <v>231</v>
      </c>
      <c r="E142" t="s">
        <v>243</v>
      </c>
      <c r="F142">
        <v>116</v>
      </c>
      <c r="G142" s="9">
        <v>754</v>
      </c>
      <c r="H142" s="9">
        <v>87464</v>
      </c>
      <c r="I142" s="9">
        <v>1325.21</v>
      </c>
      <c r="J142">
        <v>66</v>
      </c>
      <c r="K142">
        <v>90</v>
      </c>
      <c r="L142">
        <v>57</v>
      </c>
      <c r="M142" t="s">
        <v>2095</v>
      </c>
    </row>
    <row r="143" spans="1:13">
      <c r="A143" s="4">
        <v>46295</v>
      </c>
      <c r="B143" t="s">
        <v>541</v>
      </c>
      <c r="C143" t="s">
        <v>2237</v>
      </c>
      <c r="D143" t="s">
        <v>231</v>
      </c>
      <c r="E143" t="s">
        <v>243</v>
      </c>
      <c r="F143">
        <v>217</v>
      </c>
      <c r="G143" s="9">
        <v>1462</v>
      </c>
      <c r="H143" s="9">
        <v>317254</v>
      </c>
      <c r="I143" s="9">
        <v>4957.09</v>
      </c>
      <c r="J143">
        <v>64</v>
      </c>
      <c r="K143">
        <v>96</v>
      </c>
      <c r="L143">
        <v>58</v>
      </c>
      <c r="M143" t="s">
        <v>2095</v>
      </c>
    </row>
    <row r="144" spans="1:13">
      <c r="A144" s="4">
        <v>46295</v>
      </c>
      <c r="B144" t="s">
        <v>541</v>
      </c>
      <c r="C144" t="s">
        <v>2238</v>
      </c>
      <c r="D144" t="s">
        <v>231</v>
      </c>
      <c r="E144" t="s">
        <v>239</v>
      </c>
      <c r="F144">
        <v>239</v>
      </c>
      <c r="G144" s="9">
        <v>1367</v>
      </c>
      <c r="H144" s="9">
        <v>326713</v>
      </c>
      <c r="I144" s="9">
        <v>5834.16</v>
      </c>
      <c r="J144">
        <v>56</v>
      </c>
      <c r="K144">
        <v>99</v>
      </c>
      <c r="L144">
        <v>63</v>
      </c>
      <c r="M144" t="s">
        <v>2095</v>
      </c>
    </row>
    <row r="145" spans="1:13">
      <c r="A145" s="4">
        <v>46295</v>
      </c>
      <c r="B145" t="s">
        <v>541</v>
      </c>
      <c r="C145" t="s">
        <v>2239</v>
      </c>
      <c r="D145" t="s">
        <v>231</v>
      </c>
      <c r="E145" t="s">
        <v>234</v>
      </c>
      <c r="F145">
        <v>175</v>
      </c>
      <c r="G145" s="9">
        <v>487</v>
      </c>
      <c r="H145" s="9">
        <v>85225</v>
      </c>
      <c r="I145" s="9">
        <v>1638.94</v>
      </c>
      <c r="J145">
        <v>52</v>
      </c>
      <c r="K145">
        <v>85</v>
      </c>
      <c r="L145">
        <v>47</v>
      </c>
      <c r="M145" t="s">
        <v>2095</v>
      </c>
    </row>
    <row r="146" spans="1:13">
      <c r="A146" s="4">
        <v>46295</v>
      </c>
      <c r="B146" t="s">
        <v>541</v>
      </c>
      <c r="C146" t="s">
        <v>2240</v>
      </c>
      <c r="D146" t="s">
        <v>231</v>
      </c>
      <c r="E146" t="s">
        <v>239</v>
      </c>
      <c r="F146">
        <v>245</v>
      </c>
      <c r="G146" s="9">
        <v>703</v>
      </c>
      <c r="H146" s="9">
        <v>172235</v>
      </c>
      <c r="I146" s="9">
        <v>2969.57</v>
      </c>
      <c r="J146">
        <v>58</v>
      </c>
      <c r="K146">
        <v>160</v>
      </c>
      <c r="L146">
        <v>94</v>
      </c>
      <c r="M146" t="s">
        <v>2095</v>
      </c>
    </row>
    <row r="147" spans="1:13">
      <c r="A147" s="4">
        <v>46295</v>
      </c>
      <c r="B147" t="s">
        <v>541</v>
      </c>
      <c r="C147" t="s">
        <v>2241</v>
      </c>
      <c r="D147" t="s">
        <v>231</v>
      </c>
      <c r="E147" t="s">
        <v>243</v>
      </c>
      <c r="F147">
        <v>122</v>
      </c>
      <c r="G147" s="9">
        <v>1128</v>
      </c>
      <c r="H147" s="9">
        <v>137616</v>
      </c>
      <c r="I147" s="9">
        <v>2256</v>
      </c>
      <c r="J147">
        <v>61</v>
      </c>
      <c r="K147">
        <v>51</v>
      </c>
      <c r="L147">
        <v>24</v>
      </c>
      <c r="M147" t="s">
        <v>2095</v>
      </c>
    </row>
    <row r="148" spans="1:13">
      <c r="A148" s="4">
        <v>46295</v>
      </c>
      <c r="B148" t="s">
        <v>541</v>
      </c>
      <c r="C148" t="s">
        <v>2242</v>
      </c>
      <c r="D148" t="s">
        <v>231</v>
      </c>
      <c r="E148" t="s">
        <v>232</v>
      </c>
      <c r="F148">
        <v>220</v>
      </c>
      <c r="G148" s="9">
        <v>1205</v>
      </c>
      <c r="H148" s="9">
        <v>265100</v>
      </c>
      <c r="I148" s="9">
        <v>3842.03</v>
      </c>
      <c r="J148">
        <v>69</v>
      </c>
      <c r="K148">
        <v>135</v>
      </c>
      <c r="L148">
        <v>80</v>
      </c>
      <c r="M148" t="s">
        <v>2095</v>
      </c>
    </row>
    <row r="149" spans="1:13">
      <c r="A149" s="4">
        <v>46295</v>
      </c>
      <c r="B149" t="s">
        <v>541</v>
      </c>
      <c r="C149" t="s">
        <v>2243</v>
      </c>
      <c r="D149" t="s">
        <v>231</v>
      </c>
      <c r="E149" t="s">
        <v>239</v>
      </c>
      <c r="F149">
        <v>219</v>
      </c>
      <c r="G149" s="9">
        <v>1090</v>
      </c>
      <c r="H149" s="9">
        <v>238710</v>
      </c>
      <c r="I149" s="9">
        <v>3510.44</v>
      </c>
      <c r="J149">
        <v>68</v>
      </c>
      <c r="K149">
        <v>150</v>
      </c>
      <c r="L149">
        <v>85</v>
      </c>
      <c r="M149" t="s">
        <v>2095</v>
      </c>
    </row>
    <row r="150" spans="1:13">
      <c r="A150" s="4">
        <v>46295</v>
      </c>
      <c r="B150" t="s">
        <v>541</v>
      </c>
      <c r="C150" t="s">
        <v>2244</v>
      </c>
      <c r="D150" t="s">
        <v>231</v>
      </c>
      <c r="E150" t="s">
        <v>234</v>
      </c>
      <c r="F150">
        <v>334</v>
      </c>
      <c r="G150" s="9">
        <v>561</v>
      </c>
      <c r="H150" s="9">
        <v>187374</v>
      </c>
      <c r="I150" s="9">
        <v>2639.07</v>
      </c>
      <c r="J150">
        <v>71</v>
      </c>
      <c r="K150">
        <v>218</v>
      </c>
      <c r="L150">
        <v>149</v>
      </c>
      <c r="M150" t="s">
        <v>2095</v>
      </c>
    </row>
    <row r="151" spans="1:13">
      <c r="A151" s="4">
        <v>46295</v>
      </c>
      <c r="B151" t="s">
        <v>541</v>
      </c>
      <c r="C151" t="s">
        <v>2245</v>
      </c>
      <c r="D151" t="s">
        <v>231</v>
      </c>
      <c r="E151" t="s">
        <v>243</v>
      </c>
      <c r="F151">
        <v>411</v>
      </c>
      <c r="G151" s="9">
        <v>1531</v>
      </c>
      <c r="H151" s="9">
        <v>629241</v>
      </c>
      <c r="I151" s="9">
        <v>8862.5499999999993</v>
      </c>
      <c r="J151">
        <v>71</v>
      </c>
      <c r="K151">
        <v>182</v>
      </c>
      <c r="L151">
        <v>113</v>
      </c>
      <c r="M151" t="s">
        <v>2095</v>
      </c>
    </row>
    <row r="152" spans="1:13">
      <c r="A152" s="4">
        <v>46295</v>
      </c>
      <c r="B152" t="s">
        <v>541</v>
      </c>
      <c r="C152" t="s">
        <v>2246</v>
      </c>
      <c r="D152" t="s">
        <v>396</v>
      </c>
      <c r="E152" t="s">
        <v>399</v>
      </c>
      <c r="F152">
        <v>82</v>
      </c>
      <c r="G152" s="9">
        <v>1071</v>
      </c>
      <c r="H152" s="9">
        <v>87822</v>
      </c>
      <c r="I152" s="9">
        <v>1111.67</v>
      </c>
      <c r="J152">
        <v>79</v>
      </c>
      <c r="K152">
        <v>69</v>
      </c>
      <c r="L152">
        <v>36</v>
      </c>
      <c r="M152" t="s">
        <v>2095</v>
      </c>
    </row>
    <row r="153" spans="1:13">
      <c r="A153" s="4">
        <v>46295</v>
      </c>
      <c r="B153" t="s">
        <v>541</v>
      </c>
      <c r="C153" t="s">
        <v>2247</v>
      </c>
      <c r="D153" t="s">
        <v>396</v>
      </c>
      <c r="E153" t="s">
        <v>397</v>
      </c>
      <c r="F153">
        <v>79</v>
      </c>
      <c r="G153" s="9">
        <v>2497</v>
      </c>
      <c r="H153" s="9">
        <v>197263</v>
      </c>
      <c r="I153" s="9">
        <v>2778.35</v>
      </c>
      <c r="J153">
        <v>71</v>
      </c>
      <c r="K153">
        <v>59</v>
      </c>
      <c r="L153">
        <v>38</v>
      </c>
      <c r="M153" t="s">
        <v>2095</v>
      </c>
    </row>
    <row r="154" spans="1:13">
      <c r="A154" s="4">
        <v>46295</v>
      </c>
      <c r="B154" t="s">
        <v>541</v>
      </c>
      <c r="C154" t="s">
        <v>2248</v>
      </c>
      <c r="D154" t="s">
        <v>396</v>
      </c>
      <c r="E154" t="s">
        <v>399</v>
      </c>
      <c r="F154">
        <v>133</v>
      </c>
      <c r="G154" s="9">
        <v>2796</v>
      </c>
      <c r="H154" s="9">
        <v>371868</v>
      </c>
      <c r="I154" s="9">
        <v>5810.44</v>
      </c>
      <c r="J154">
        <v>64</v>
      </c>
      <c r="K154">
        <v>109</v>
      </c>
      <c r="L154">
        <v>60</v>
      </c>
      <c r="M154" t="s">
        <v>2095</v>
      </c>
    </row>
    <row r="155" spans="1:13">
      <c r="A155" s="4">
        <v>46295</v>
      </c>
      <c r="B155" t="s">
        <v>541</v>
      </c>
      <c r="C155" t="s">
        <v>2249</v>
      </c>
      <c r="D155" t="s">
        <v>396</v>
      </c>
      <c r="E155" t="s">
        <v>404</v>
      </c>
      <c r="F155">
        <v>142</v>
      </c>
      <c r="G155" s="9">
        <v>3289</v>
      </c>
      <c r="H155" s="9">
        <v>467038</v>
      </c>
      <c r="I155" s="9">
        <v>3072.62</v>
      </c>
      <c r="J155">
        <v>152</v>
      </c>
      <c r="K155">
        <v>111</v>
      </c>
      <c r="L155">
        <v>75</v>
      </c>
      <c r="M155" t="s">
        <v>2119</v>
      </c>
    </row>
    <row r="156" spans="1:13">
      <c r="A156" s="4">
        <v>46295</v>
      </c>
      <c r="B156" t="s">
        <v>541</v>
      </c>
      <c r="C156" t="s">
        <v>2250</v>
      </c>
      <c r="D156" t="s">
        <v>396</v>
      </c>
      <c r="E156" t="s">
        <v>404</v>
      </c>
      <c r="F156">
        <v>151</v>
      </c>
      <c r="G156" s="9">
        <v>2431</v>
      </c>
      <c r="H156" s="9">
        <v>367081</v>
      </c>
      <c r="I156" s="9">
        <v>6221.71</v>
      </c>
      <c r="J156">
        <v>59</v>
      </c>
      <c r="K156">
        <v>127</v>
      </c>
      <c r="L156">
        <v>76</v>
      </c>
      <c r="M156" t="s">
        <v>2095</v>
      </c>
    </row>
    <row r="157" spans="1:13">
      <c r="A157" s="4">
        <v>46295</v>
      </c>
      <c r="B157" t="s">
        <v>541</v>
      </c>
      <c r="C157" t="s">
        <v>2251</v>
      </c>
      <c r="D157" t="s">
        <v>396</v>
      </c>
      <c r="E157" t="s">
        <v>397</v>
      </c>
      <c r="F157">
        <v>54</v>
      </c>
      <c r="G157" s="9">
        <v>850</v>
      </c>
      <c r="H157" s="9">
        <v>45900</v>
      </c>
      <c r="I157" s="9">
        <v>612</v>
      </c>
      <c r="J157">
        <v>75</v>
      </c>
      <c r="K157">
        <v>27</v>
      </c>
      <c r="L157">
        <v>16</v>
      </c>
      <c r="M157" t="s">
        <v>2095</v>
      </c>
    </row>
    <row r="158" spans="1:13">
      <c r="A158" s="4">
        <v>46295</v>
      </c>
      <c r="B158" t="s">
        <v>541</v>
      </c>
      <c r="C158" t="s">
        <v>2252</v>
      </c>
      <c r="D158" t="s">
        <v>396</v>
      </c>
      <c r="E158" t="s">
        <v>402</v>
      </c>
      <c r="F158">
        <v>160</v>
      </c>
      <c r="G158" s="9">
        <v>1240</v>
      </c>
      <c r="H158" s="9">
        <v>198400</v>
      </c>
      <c r="I158" s="9">
        <v>3006.06</v>
      </c>
      <c r="J158">
        <v>66</v>
      </c>
      <c r="K158">
        <v>57</v>
      </c>
      <c r="L158">
        <v>28</v>
      </c>
      <c r="M158" t="s">
        <v>2095</v>
      </c>
    </row>
    <row r="159" spans="1:13">
      <c r="A159" s="4">
        <v>46295</v>
      </c>
      <c r="B159" t="s">
        <v>541</v>
      </c>
      <c r="C159" t="s">
        <v>2253</v>
      </c>
      <c r="D159" t="s">
        <v>396</v>
      </c>
      <c r="E159" t="s">
        <v>402</v>
      </c>
      <c r="F159">
        <v>289</v>
      </c>
      <c r="G159" s="9">
        <v>3306</v>
      </c>
      <c r="H159" s="9">
        <v>955434</v>
      </c>
      <c r="I159" s="9">
        <v>14698.98</v>
      </c>
      <c r="J159">
        <v>65</v>
      </c>
      <c r="K159">
        <v>201</v>
      </c>
      <c r="L159">
        <v>124</v>
      </c>
      <c r="M159" t="s">
        <v>2095</v>
      </c>
    </row>
    <row r="160" spans="1:13">
      <c r="A160" s="4">
        <v>46295</v>
      </c>
      <c r="B160" t="s">
        <v>541</v>
      </c>
      <c r="C160" t="s">
        <v>2254</v>
      </c>
      <c r="D160" t="s">
        <v>396</v>
      </c>
      <c r="E160" t="s">
        <v>402</v>
      </c>
      <c r="F160">
        <v>451</v>
      </c>
      <c r="G160" s="9">
        <v>343</v>
      </c>
      <c r="H160" s="9">
        <v>154693</v>
      </c>
      <c r="I160" s="9">
        <v>2308.85</v>
      </c>
      <c r="J160">
        <v>67</v>
      </c>
      <c r="K160">
        <v>256</v>
      </c>
      <c r="L160">
        <v>142</v>
      </c>
      <c r="M160" t="s">
        <v>2095</v>
      </c>
    </row>
    <row r="161" spans="1:13">
      <c r="A161" s="4">
        <v>46295</v>
      </c>
      <c r="B161" t="s">
        <v>541</v>
      </c>
      <c r="C161" t="s">
        <v>2255</v>
      </c>
      <c r="D161" t="s">
        <v>396</v>
      </c>
      <c r="E161" t="s">
        <v>397</v>
      </c>
      <c r="F161">
        <v>362</v>
      </c>
      <c r="G161" s="9">
        <v>3375</v>
      </c>
      <c r="H161" s="9">
        <v>1221750</v>
      </c>
      <c r="I161" s="9">
        <v>16290</v>
      </c>
      <c r="J161">
        <v>75</v>
      </c>
      <c r="K161">
        <v>274</v>
      </c>
      <c r="L161">
        <v>140</v>
      </c>
      <c r="M161" t="s">
        <v>2095</v>
      </c>
    </row>
    <row r="162" spans="1:13">
      <c r="A162" s="4">
        <v>46295</v>
      </c>
      <c r="B162" t="s">
        <v>541</v>
      </c>
      <c r="C162" t="s">
        <v>2256</v>
      </c>
      <c r="D162" t="s">
        <v>396</v>
      </c>
      <c r="E162" t="s">
        <v>404</v>
      </c>
      <c r="F162">
        <v>138</v>
      </c>
      <c r="G162" s="9">
        <v>1816</v>
      </c>
      <c r="H162" s="9">
        <v>250608</v>
      </c>
      <c r="I162" s="9">
        <v>3855.51</v>
      </c>
      <c r="J162">
        <v>65</v>
      </c>
      <c r="K162">
        <v>62</v>
      </c>
      <c r="L162">
        <v>29</v>
      </c>
      <c r="M162" t="s">
        <v>2095</v>
      </c>
    </row>
    <row r="163" spans="1:13">
      <c r="A163" s="4">
        <v>46295</v>
      </c>
      <c r="B163" t="s">
        <v>541</v>
      </c>
      <c r="C163" t="s">
        <v>2257</v>
      </c>
      <c r="D163" t="s">
        <v>396</v>
      </c>
      <c r="E163" t="s">
        <v>404</v>
      </c>
      <c r="F163">
        <v>168</v>
      </c>
      <c r="G163" s="9">
        <v>2577</v>
      </c>
      <c r="H163" s="9">
        <v>432936</v>
      </c>
      <c r="I163" s="9">
        <v>6764.62</v>
      </c>
      <c r="J163">
        <v>64</v>
      </c>
      <c r="K163">
        <v>123</v>
      </c>
      <c r="L163">
        <v>80</v>
      </c>
      <c r="M163" t="s">
        <v>2095</v>
      </c>
    </row>
    <row r="164" spans="1:13">
      <c r="A164" s="4">
        <v>46295</v>
      </c>
      <c r="B164" t="s">
        <v>541</v>
      </c>
      <c r="C164" t="s">
        <v>2258</v>
      </c>
      <c r="D164" t="s">
        <v>396</v>
      </c>
      <c r="E164" t="s">
        <v>404</v>
      </c>
      <c r="F164">
        <v>170</v>
      </c>
      <c r="G164" s="9">
        <v>1409</v>
      </c>
      <c r="H164" s="9">
        <v>239530</v>
      </c>
      <c r="I164" s="9">
        <v>3992.17</v>
      </c>
      <c r="J164">
        <v>60</v>
      </c>
      <c r="K164">
        <v>120</v>
      </c>
      <c r="L164">
        <v>82</v>
      </c>
      <c r="M164" t="s">
        <v>2095</v>
      </c>
    </row>
    <row r="165" spans="1:13">
      <c r="A165" s="4">
        <v>46295</v>
      </c>
      <c r="B165" t="s">
        <v>541</v>
      </c>
      <c r="C165" t="s">
        <v>2259</v>
      </c>
      <c r="D165" t="s">
        <v>396</v>
      </c>
      <c r="E165" t="s">
        <v>397</v>
      </c>
      <c r="F165">
        <v>73</v>
      </c>
      <c r="G165" s="9">
        <v>1512</v>
      </c>
      <c r="H165" s="9">
        <v>110376</v>
      </c>
      <c r="I165" s="9">
        <v>1752</v>
      </c>
      <c r="J165">
        <v>63</v>
      </c>
      <c r="K165">
        <v>42</v>
      </c>
      <c r="L165">
        <v>28</v>
      </c>
      <c r="M165" t="s">
        <v>2095</v>
      </c>
    </row>
    <row r="166" spans="1:13">
      <c r="A166" s="4">
        <v>46295</v>
      </c>
      <c r="B166" t="s">
        <v>541</v>
      </c>
      <c r="C166" t="s">
        <v>2260</v>
      </c>
      <c r="D166" t="s">
        <v>396</v>
      </c>
      <c r="E166" t="s">
        <v>397</v>
      </c>
      <c r="F166">
        <v>96</v>
      </c>
      <c r="G166" s="9">
        <v>969</v>
      </c>
      <c r="H166" s="9">
        <v>93024</v>
      </c>
      <c r="I166" s="9">
        <v>1476.57</v>
      </c>
      <c r="J166">
        <v>63</v>
      </c>
      <c r="K166">
        <v>65</v>
      </c>
      <c r="L166">
        <v>31</v>
      </c>
      <c r="M166" t="s">
        <v>2095</v>
      </c>
    </row>
    <row r="167" spans="1:13">
      <c r="A167" s="4">
        <v>46295</v>
      </c>
      <c r="B167" t="s">
        <v>541</v>
      </c>
      <c r="C167" t="s">
        <v>2261</v>
      </c>
      <c r="D167" t="s">
        <v>396</v>
      </c>
      <c r="E167" t="s">
        <v>402</v>
      </c>
      <c r="F167">
        <v>241</v>
      </c>
      <c r="G167" s="9">
        <v>3258</v>
      </c>
      <c r="H167" s="9">
        <v>785178</v>
      </c>
      <c r="I167" s="9">
        <v>11719.07</v>
      </c>
      <c r="J167">
        <v>67</v>
      </c>
      <c r="K167">
        <v>134</v>
      </c>
      <c r="L167">
        <v>88</v>
      </c>
      <c r="M167" t="s">
        <v>2095</v>
      </c>
    </row>
    <row r="168" spans="1:13">
      <c r="A168" s="4">
        <v>46295</v>
      </c>
      <c r="B168" t="s">
        <v>541</v>
      </c>
      <c r="C168" t="s">
        <v>2262</v>
      </c>
      <c r="D168" t="s">
        <v>396</v>
      </c>
      <c r="E168" t="s">
        <v>399</v>
      </c>
      <c r="F168">
        <v>423</v>
      </c>
      <c r="G168" s="9">
        <v>2250</v>
      </c>
      <c r="H168" s="9">
        <v>951750</v>
      </c>
      <c r="I168" s="9">
        <v>14642.31</v>
      </c>
      <c r="J168">
        <v>65</v>
      </c>
      <c r="K168">
        <v>283</v>
      </c>
      <c r="L168">
        <v>176</v>
      </c>
      <c r="M168" t="s">
        <v>2095</v>
      </c>
    </row>
    <row r="169" spans="1:13">
      <c r="A169" s="4">
        <v>46295</v>
      </c>
      <c r="B169" t="s">
        <v>541</v>
      </c>
      <c r="C169" t="s">
        <v>2263</v>
      </c>
      <c r="D169" t="s">
        <v>396</v>
      </c>
      <c r="E169" t="s">
        <v>404</v>
      </c>
      <c r="F169">
        <v>472</v>
      </c>
      <c r="G169" s="9">
        <v>733</v>
      </c>
      <c r="H169" s="9">
        <v>345976</v>
      </c>
      <c r="I169" s="9">
        <v>4435.59</v>
      </c>
      <c r="J169">
        <v>78</v>
      </c>
      <c r="K169">
        <v>312</v>
      </c>
      <c r="L169">
        <v>205</v>
      </c>
      <c r="M169" t="s">
        <v>2095</v>
      </c>
    </row>
    <row r="170" spans="1:13">
      <c r="A170" s="4">
        <v>46295</v>
      </c>
      <c r="B170" t="s">
        <v>541</v>
      </c>
      <c r="C170" t="s">
        <v>2264</v>
      </c>
      <c r="D170" t="s">
        <v>396</v>
      </c>
      <c r="E170" t="s">
        <v>402</v>
      </c>
      <c r="F170">
        <v>185</v>
      </c>
      <c r="G170" s="9">
        <v>1773</v>
      </c>
      <c r="H170" s="9">
        <v>328005</v>
      </c>
      <c r="I170" s="9">
        <v>5290.4</v>
      </c>
      <c r="J170">
        <v>62</v>
      </c>
      <c r="K170">
        <v>123</v>
      </c>
      <c r="L170">
        <v>62</v>
      </c>
      <c r="M170" t="s">
        <v>2095</v>
      </c>
    </row>
    <row r="171" spans="1:13">
      <c r="A171" s="4">
        <v>46295</v>
      </c>
      <c r="B171" t="s">
        <v>541</v>
      </c>
      <c r="C171" t="s">
        <v>2265</v>
      </c>
      <c r="D171" t="s">
        <v>396</v>
      </c>
      <c r="E171" t="s">
        <v>397</v>
      </c>
      <c r="F171">
        <v>128</v>
      </c>
      <c r="G171" s="9">
        <v>2221</v>
      </c>
      <c r="H171" s="9">
        <v>284288</v>
      </c>
      <c r="I171" s="9">
        <v>4442</v>
      </c>
      <c r="J171">
        <v>64</v>
      </c>
      <c r="K171">
        <v>85</v>
      </c>
      <c r="L171">
        <v>45</v>
      </c>
      <c r="M171" t="s">
        <v>2095</v>
      </c>
    </row>
    <row r="172" spans="1:13">
      <c r="A172" s="4">
        <v>46295</v>
      </c>
      <c r="B172" t="s">
        <v>541</v>
      </c>
      <c r="C172" t="s">
        <v>2266</v>
      </c>
      <c r="D172" t="s">
        <v>396</v>
      </c>
      <c r="E172" t="s">
        <v>399</v>
      </c>
      <c r="F172">
        <v>142</v>
      </c>
      <c r="G172" s="9">
        <v>2752</v>
      </c>
      <c r="H172" s="9">
        <v>390784</v>
      </c>
      <c r="I172" s="9">
        <v>4824.49</v>
      </c>
      <c r="J172">
        <v>81</v>
      </c>
      <c r="K172">
        <v>52</v>
      </c>
      <c r="L172">
        <v>35</v>
      </c>
      <c r="M172" t="s">
        <v>2095</v>
      </c>
    </row>
    <row r="173" spans="1:13">
      <c r="A173" s="4">
        <v>46295</v>
      </c>
      <c r="B173" t="s">
        <v>541</v>
      </c>
      <c r="C173" t="s">
        <v>2267</v>
      </c>
      <c r="D173" t="s">
        <v>396</v>
      </c>
      <c r="E173" t="s">
        <v>404</v>
      </c>
      <c r="F173">
        <v>247</v>
      </c>
      <c r="G173" s="9">
        <v>1454</v>
      </c>
      <c r="H173" s="9">
        <v>359138</v>
      </c>
      <c r="I173" s="9">
        <v>5058.28</v>
      </c>
      <c r="J173">
        <v>71</v>
      </c>
      <c r="K173">
        <v>174</v>
      </c>
      <c r="L173">
        <v>118</v>
      </c>
      <c r="M173" t="s">
        <v>2095</v>
      </c>
    </row>
    <row r="174" spans="1:13">
      <c r="A174" s="4">
        <v>46295</v>
      </c>
      <c r="B174" t="s">
        <v>541</v>
      </c>
      <c r="C174" t="s">
        <v>2268</v>
      </c>
      <c r="D174" t="s">
        <v>396</v>
      </c>
      <c r="E174" t="s">
        <v>397</v>
      </c>
      <c r="F174">
        <v>176</v>
      </c>
      <c r="G174" s="9">
        <v>2869</v>
      </c>
      <c r="H174" s="9">
        <v>504944</v>
      </c>
      <c r="I174" s="9">
        <v>8558.3700000000008</v>
      </c>
      <c r="J174">
        <v>59</v>
      </c>
      <c r="K174">
        <v>78</v>
      </c>
      <c r="L174">
        <v>46</v>
      </c>
      <c r="M174" t="s">
        <v>2095</v>
      </c>
    </row>
    <row r="175" spans="1:13">
      <c r="A175" s="4">
        <v>46295</v>
      </c>
      <c r="B175" t="s">
        <v>541</v>
      </c>
      <c r="C175" t="s">
        <v>2269</v>
      </c>
      <c r="D175" t="s">
        <v>396</v>
      </c>
      <c r="E175" t="s">
        <v>397</v>
      </c>
      <c r="F175">
        <v>456</v>
      </c>
      <c r="G175" s="9">
        <v>832</v>
      </c>
      <c r="H175" s="9">
        <v>379392</v>
      </c>
      <c r="I175" s="9">
        <v>5269.33</v>
      </c>
      <c r="J175">
        <v>72</v>
      </c>
      <c r="K175">
        <v>178</v>
      </c>
      <c r="L175">
        <v>123</v>
      </c>
      <c r="M175" t="s">
        <v>2095</v>
      </c>
    </row>
    <row r="176" spans="1:13">
      <c r="A176" s="4">
        <v>46295</v>
      </c>
      <c r="B176" t="s">
        <v>541</v>
      </c>
      <c r="C176" t="s">
        <v>2270</v>
      </c>
      <c r="D176" t="s">
        <v>396</v>
      </c>
      <c r="E176" t="s">
        <v>402</v>
      </c>
      <c r="F176">
        <v>321</v>
      </c>
      <c r="G176" s="9">
        <v>471</v>
      </c>
      <c r="H176" s="9">
        <v>151191</v>
      </c>
      <c r="I176" s="9">
        <v>2399.86</v>
      </c>
      <c r="J176">
        <v>63</v>
      </c>
      <c r="K176">
        <v>150</v>
      </c>
      <c r="L176">
        <v>80</v>
      </c>
      <c r="M176" t="s">
        <v>2095</v>
      </c>
    </row>
    <row r="177" spans="1:13">
      <c r="A177" s="4">
        <v>46295</v>
      </c>
      <c r="B177" t="s">
        <v>541</v>
      </c>
      <c r="C177" t="s">
        <v>2271</v>
      </c>
      <c r="D177" t="s">
        <v>396</v>
      </c>
      <c r="E177" t="s">
        <v>397</v>
      </c>
      <c r="F177">
        <v>463</v>
      </c>
      <c r="G177" s="9">
        <v>504</v>
      </c>
      <c r="H177" s="9">
        <v>233352</v>
      </c>
      <c r="I177" s="9">
        <v>3482.87</v>
      </c>
      <c r="J177">
        <v>67</v>
      </c>
      <c r="K177">
        <v>317</v>
      </c>
      <c r="L177">
        <v>213</v>
      </c>
      <c r="M177" t="s">
        <v>2095</v>
      </c>
    </row>
    <row r="178" spans="1:13">
      <c r="A178" s="4">
        <v>46295</v>
      </c>
      <c r="B178" t="s">
        <v>541</v>
      </c>
      <c r="C178" t="s">
        <v>2272</v>
      </c>
      <c r="D178" t="s">
        <v>396</v>
      </c>
      <c r="E178" t="s">
        <v>404</v>
      </c>
      <c r="F178">
        <v>282</v>
      </c>
      <c r="G178" s="9">
        <v>2285</v>
      </c>
      <c r="H178" s="9">
        <v>644370</v>
      </c>
      <c r="I178" s="9">
        <v>9338.7000000000007</v>
      </c>
      <c r="J178">
        <v>69</v>
      </c>
      <c r="K178">
        <v>139</v>
      </c>
      <c r="L178">
        <v>63</v>
      </c>
      <c r="M178" t="s">
        <v>2095</v>
      </c>
    </row>
    <row r="179" spans="1:13">
      <c r="A179" s="4">
        <v>46295</v>
      </c>
      <c r="B179" t="s">
        <v>541</v>
      </c>
      <c r="C179" t="s">
        <v>2273</v>
      </c>
      <c r="D179" t="s">
        <v>396</v>
      </c>
      <c r="E179" t="s">
        <v>399</v>
      </c>
      <c r="F179">
        <v>356</v>
      </c>
      <c r="G179" s="9">
        <v>724</v>
      </c>
      <c r="H179" s="9">
        <v>257744</v>
      </c>
      <c r="I179" s="9">
        <v>4027.25</v>
      </c>
      <c r="J179">
        <v>64</v>
      </c>
      <c r="K179">
        <v>229</v>
      </c>
      <c r="L179">
        <v>138</v>
      </c>
      <c r="M179" t="s">
        <v>2095</v>
      </c>
    </row>
    <row r="180" spans="1:13">
      <c r="A180" s="4">
        <v>46295</v>
      </c>
      <c r="B180" t="s">
        <v>541</v>
      </c>
      <c r="C180" t="s">
        <v>2274</v>
      </c>
      <c r="D180" t="s">
        <v>396</v>
      </c>
      <c r="E180" t="s">
        <v>397</v>
      </c>
      <c r="F180">
        <v>405</v>
      </c>
      <c r="G180" s="9">
        <v>2750</v>
      </c>
      <c r="H180" s="9">
        <v>1113750</v>
      </c>
      <c r="I180" s="9">
        <v>15910.71</v>
      </c>
      <c r="J180">
        <v>70</v>
      </c>
      <c r="K180">
        <v>206</v>
      </c>
      <c r="L180">
        <v>138</v>
      </c>
      <c r="M180" t="s">
        <v>2095</v>
      </c>
    </row>
    <row r="181" spans="1:13">
      <c r="A181" s="4">
        <v>46295</v>
      </c>
      <c r="B181" t="s">
        <v>541</v>
      </c>
      <c r="C181" t="s">
        <v>2275</v>
      </c>
      <c r="D181" t="s">
        <v>396</v>
      </c>
      <c r="E181" t="s">
        <v>402</v>
      </c>
      <c r="F181">
        <v>302</v>
      </c>
      <c r="G181" s="9">
        <v>1018</v>
      </c>
      <c r="H181" s="9">
        <v>307436</v>
      </c>
      <c r="I181" s="9">
        <v>5123.93</v>
      </c>
      <c r="J181">
        <v>60</v>
      </c>
      <c r="K181">
        <v>127</v>
      </c>
      <c r="L181">
        <v>72</v>
      </c>
      <c r="M181" t="s">
        <v>2095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E8" sqref="E8"/>
    </sheetView>
  </sheetViews>
  <sheetFormatPr defaultRowHeight="14.25"/>
  <cols>
    <col min="1" max="1" width="24" customWidth="1"/>
    <col min="2" max="4" width="16" customWidth="1"/>
    <col min="5" max="5" width="35" customWidth="1"/>
  </cols>
  <sheetData>
    <row r="1" spans="1:8" ht="20.25">
      <c r="A1" s="14" t="s">
        <v>2276</v>
      </c>
      <c r="B1" s="14"/>
      <c r="C1" s="14"/>
      <c r="D1" s="14"/>
      <c r="E1" s="14"/>
      <c r="F1" s="14"/>
      <c r="G1" s="14"/>
      <c r="H1" s="14"/>
    </row>
    <row r="3" spans="1:8" ht="15">
      <c r="A3" s="10" t="s">
        <v>2277</v>
      </c>
      <c r="B3" s="10" t="s">
        <v>36</v>
      </c>
      <c r="C3" s="10" t="s">
        <v>541</v>
      </c>
      <c r="D3" s="10" t="s">
        <v>2278</v>
      </c>
      <c r="E3" s="10" t="s">
        <v>2279</v>
      </c>
    </row>
    <row r="4" spans="1:8">
      <c r="A4" t="s">
        <v>2280</v>
      </c>
      <c r="B4" s="5">
        <f>SUMIFS(Sales_Orders!$K$2:$K$1011,Sales_Orders!$C$2:$C$1011,"Q1 FY2026")</f>
        <v>121000000</v>
      </c>
      <c r="C4" s="5">
        <f>SUMIFS(Sales_Orders!$K$2:$K$1011,Sales_Orders!$C$2:$C$1011,"Q2 FY2026")</f>
        <v>128000000</v>
      </c>
      <c r="D4" s="11">
        <f>C4/B4-1</f>
        <v>5.7851239669421517E-2</v>
      </c>
      <c r="E4" t="s">
        <v>2281</v>
      </c>
    </row>
    <row r="5" spans="1:8">
      <c r="A5" t="s">
        <v>2282</v>
      </c>
      <c r="B5" s="5">
        <f>SUMIFS(Sales_Orders!$P$2:$P$1011,Sales_Orders!$C$2:$C$1011,"Q1 FY2026")</f>
        <v>13085240</v>
      </c>
      <c r="C5" s="5">
        <f>SUMIFS(Sales_Orders!$P$2:$P$1011,Sales_Orders!$C$2:$C$1011,"Q2 FY2026")</f>
        <v>8157528</v>
      </c>
      <c r="D5" s="11">
        <f>C5/B5-1</f>
        <v>-0.37658552689900993</v>
      </c>
      <c r="E5" t="s">
        <v>2283</v>
      </c>
    </row>
    <row r="6" spans="1:8">
      <c r="A6" t="s">
        <v>2284</v>
      </c>
      <c r="B6">
        <f>COUNTIF(Complaints!$C$2:$C$675,"Q1 FY2026")</f>
        <v>0</v>
      </c>
      <c r="C6">
        <f>COUNTIF(Complaints!$C$2:$C$675,"Q2 FY2026")</f>
        <v>0</v>
      </c>
      <c r="D6" s="11" t="e">
        <f>C6/B6-1</f>
        <v>#DIV/0!</v>
      </c>
      <c r="E6" t="s">
        <v>2285</v>
      </c>
    </row>
    <row r="7" spans="1:8">
      <c r="A7" t="s">
        <v>2286</v>
      </c>
      <c r="B7" s="11">
        <f>COUNTIFS(Employees!$B$2:$B$201,"Q1 FY2026",Employees!$K$2:$K$201,"Yes")/COUNTIF(Employees!$B$2:$B$201,"Q1 FY2026")</f>
        <v>0.14000000000000001</v>
      </c>
      <c r="C7" s="11">
        <f>COUNTIFS(Employees!$B$2:$B$201,"Q2 FY2026",Employees!$K$2:$K$201,"Yes")/COUNTIF(Employees!$B$2:$B$201,"Q2 FY2026")</f>
        <v>0.21</v>
      </c>
      <c r="D7" s="11">
        <f>C7/B7-1</f>
        <v>0.49999999999999978</v>
      </c>
      <c r="E7" t="s">
        <v>2287</v>
      </c>
    </row>
    <row r="8" spans="1:8">
      <c r="A8" t="s">
        <v>2288</v>
      </c>
      <c r="B8">
        <f>SUMIFS(Inventory!$J$2:$J$181,Inventory!$B$2:$B$181,"Q1 FY2026")/COUNTIF(Inventory!$B$2:$B$181,"Q1 FY2026")</f>
        <v>49.577777777777776</v>
      </c>
      <c r="C8">
        <f>SUMIFS(Inventory!$J$2:$J$181,Inventory!$B$2:$B$181,"Q2 FY2026")/COUNTIF(Inventory!$B$2:$B$181,"Q2 FY2026")</f>
        <v>74.63333333333334</v>
      </c>
      <c r="D8" s="11">
        <f>C8/B8-1</f>
        <v>0.50537875392200826</v>
      </c>
      <c r="E8" t="s">
        <v>2289</v>
      </c>
    </row>
    <row r="11" spans="1:8" ht="15">
      <c r="A11" s="12" t="s">
        <v>20</v>
      </c>
      <c r="B11" s="12" t="s">
        <v>2290</v>
      </c>
      <c r="C11" s="12" t="s">
        <v>2291</v>
      </c>
      <c r="D11" s="12" t="s">
        <v>2292</v>
      </c>
      <c r="E11" s="12" t="s">
        <v>2293</v>
      </c>
    </row>
    <row r="12" spans="1:8">
      <c r="A12" t="s">
        <v>37</v>
      </c>
      <c r="B12" s="5">
        <f>SUMIFS(Sales_Orders!$K$2:$K$1011,Sales_Orders!$C$2:$C$1011,"Q2 FY2026",Sales_Orders!$D$2:$D$1011,A12)</f>
        <v>56000000</v>
      </c>
      <c r="C12" s="5">
        <f>SUMIFS(Sales_Orders!$P$2:$P$1011,Sales_Orders!$C$2:$C$1011,"Q2 FY2026",Sales_Orders!$D$2:$D$1011,A12)</f>
        <v>2100000</v>
      </c>
      <c r="D12">
        <f>COUNTIFS(Complaints!$C$2:$C$675,"Q2 FY2026",Complaints!$E$2:$E$675,A12)</f>
        <v>0</v>
      </c>
      <c r="E12">
        <f>SUMIFS(Inventory!$J$2:$J$181,Inventory!$B$2:$B$181,"Q2 FY2026",Inventory!$D$2:$D$181,A12)/COUNTIFS(Inventory!$B$2:$B$181,"Q2 FY2026",Inventory!$D$2:$D$181,A12)</f>
        <v>92</v>
      </c>
    </row>
    <row r="13" spans="1:8">
      <c r="A13" t="s">
        <v>231</v>
      </c>
      <c r="B13" s="5">
        <f>SUMIFS(Sales_Orders!$K$2:$K$1011,Sales_Orders!$C$2:$C$1011,"Q2 FY2026",Sales_Orders!$D$2:$D$1011,A13)</f>
        <v>41000000</v>
      </c>
      <c r="C13" s="5">
        <f>SUMIFS(Sales_Orders!$P$2:$P$1011,Sales_Orders!$C$2:$C$1011,"Q2 FY2026",Sales_Orders!$D$2:$D$1011,A13)</f>
        <v>3000000</v>
      </c>
      <c r="D13">
        <f>COUNTIFS(Complaints!$C$2:$C$675,"Q2 FY2026",Complaints!$E$2:$E$675,A13)</f>
        <v>0</v>
      </c>
      <c r="E13">
        <f>SUMIFS(Inventory!$J$2:$J$181,Inventory!$B$2:$B$181,"Q2 FY2026",Inventory!$D$2:$D$181,A13)/COUNTIFS(Inventory!$B$2:$B$181,"Q2 FY2026",Inventory!$D$2:$D$181,A13)</f>
        <v>61.9</v>
      </c>
    </row>
    <row r="14" spans="1:8">
      <c r="A14" t="s">
        <v>396</v>
      </c>
      <c r="B14" s="5">
        <f>SUMIFS(Sales_Orders!$K$2:$K$1011,Sales_Orders!$C$2:$C$1011,"Q2 FY2026",Sales_Orders!$D$2:$D$1011,A14)</f>
        <v>31000000</v>
      </c>
      <c r="C14" s="5">
        <f>SUMIFS(Sales_Orders!$P$2:$P$1011,Sales_Orders!$C$2:$C$1011,"Q2 FY2026",Sales_Orders!$D$2:$D$1011,A14)</f>
        <v>3057528</v>
      </c>
      <c r="D14">
        <f>COUNTIFS(Complaints!$C$2:$C$675,"Q2 FY2026",Complaints!$E$2:$E$675,A14)</f>
        <v>0</v>
      </c>
      <c r="E14">
        <f>SUMIFS(Inventory!$J$2:$J$181,Inventory!$B$2:$B$181,"Q2 FY2026",Inventory!$D$2:$D$181,A14)/COUNTIFS(Inventory!$B$2:$B$181,"Q2 FY2026",Inventory!$D$2:$D$181,A14)</f>
        <v>70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2026-09-02T05:59:17Z</dcterms:created>
  <dcterms:modified xsi:type="dcterms:W3CDTF">2026-09-22T05:19:24Z</dcterms:modified>
  <cp:category/>
  <cp:contentStatus/>
</cp:coreProperties>
</file>